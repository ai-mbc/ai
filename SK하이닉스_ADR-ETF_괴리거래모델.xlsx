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i\"/>
    </mc:Choice>
  </mc:AlternateContent>
  <xr:revisionPtr revIDLastSave="0" documentId="13_ncr:1_{7D1DEEF4-EF14-4878-A197-E6034A156782}" xr6:coauthVersionLast="47" xr6:coauthVersionMax="47" xr10:uidLastSave="{00000000-0000-0000-0000-000000000000}"/>
  <bookViews>
    <workbookView xWindow="-120" yWindow="-120" windowWidth="29040" windowHeight="15720" tabRatio="500" activeTab="4" xr2:uid="{00000000-000D-0000-FFFF-FFFF00000000}"/>
  </bookViews>
  <sheets>
    <sheet name="개요" sheetId="1" r:id="rId1"/>
    <sheet name="대시보드" sheetId="2" r:id="rId2"/>
    <sheet name="포지션계산" sheetId="3" r:id="rId3"/>
    <sheet name="개장가예측" sheetId="4" r:id="rId4"/>
    <sheet name="진입청산규칙" sheetId="5" r:id="rId5"/>
    <sheet name="ETF후보" sheetId="6" r:id="rId6"/>
    <sheet name="리스크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5" l="1"/>
  <c r="D12" i="5"/>
  <c r="D11" i="5"/>
  <c r="B7" i="4"/>
  <c r="B14" i="4" s="1"/>
  <c r="B15" i="4" s="1"/>
  <c r="B47" i="3"/>
  <c r="B46" i="3"/>
  <c r="B44" i="3"/>
  <c r="B43" i="3"/>
  <c r="B42" i="3"/>
  <c r="B41" i="3"/>
  <c r="B35" i="3"/>
  <c r="B33" i="3"/>
  <c r="B24" i="3"/>
  <c r="B22" i="3"/>
  <c r="B20" i="3"/>
  <c r="B45" i="3" s="1"/>
  <c r="B14" i="3"/>
  <c r="B12" i="3"/>
  <c r="B37" i="3" s="1"/>
  <c r="B8" i="3"/>
  <c r="B7" i="3"/>
  <c r="B13" i="3" s="1"/>
  <c r="B6" i="3"/>
  <c r="B4" i="3"/>
  <c r="B21" i="3" s="1"/>
  <c r="B27" i="2"/>
  <c r="B3" i="5" s="1"/>
  <c r="B26" i="2"/>
  <c r="B25" i="2"/>
  <c r="B23" i="2"/>
  <c r="B24" i="2" s="1"/>
  <c r="D33" i="3" l="1"/>
  <c r="C43" i="3"/>
  <c r="D43" i="3" s="1"/>
  <c r="B23" i="3"/>
  <c r="C45" i="3"/>
  <c r="D45" i="3" s="1"/>
  <c r="C47" i="3"/>
  <c r="C42" i="3"/>
  <c r="C44" i="3"/>
  <c r="D44" i="3" s="1"/>
  <c r="C46" i="3"/>
  <c r="D46" i="3" s="1"/>
  <c r="C41" i="3"/>
  <c r="D41" i="3" s="1"/>
  <c r="D42" i="3"/>
  <c r="C33" i="3"/>
  <c r="C35" i="3"/>
  <c r="D35" i="3" s="1"/>
  <c r="C37" i="3"/>
  <c r="C32" i="3"/>
  <c r="C34" i="3"/>
  <c r="B15" i="3"/>
  <c r="C36" i="3"/>
  <c r="C31" i="3"/>
  <c r="D37" i="3"/>
  <c r="D47" i="3"/>
  <c r="B10" i="4"/>
  <c r="B17" i="4" s="1"/>
  <c r="B23" i="4" s="1"/>
  <c r="B25" i="4" s="1"/>
  <c r="B16" i="4"/>
  <c r="B22" i="4" s="1"/>
  <c r="B24" i="4" s="1"/>
  <c r="C8" i="5"/>
  <c r="D8" i="5" s="1"/>
  <c r="B5" i="3"/>
  <c r="B25" i="3" s="1"/>
  <c r="C18" i="5"/>
  <c r="D18" i="5" s="1"/>
  <c r="B34" i="2"/>
  <c r="B33" i="2"/>
  <c r="B30" i="2"/>
  <c r="B29" i="2"/>
  <c r="C9" i="5" s="1"/>
  <c r="D9" i="5" s="1"/>
  <c r="B28" i="2"/>
  <c r="C19" i="5" s="1"/>
  <c r="D19" i="5" s="1"/>
  <c r="B31" i="3"/>
  <c r="D31" i="3" s="1"/>
  <c r="B36" i="3"/>
  <c r="D36" i="3" s="1"/>
  <c r="B34" i="3"/>
  <c r="B16" i="3"/>
  <c r="B17" i="3"/>
  <c r="B32" i="3"/>
  <c r="F46" i="3" l="1"/>
  <c r="F44" i="3"/>
  <c r="F45" i="3"/>
  <c r="D32" i="3"/>
  <c r="E45" i="3"/>
  <c r="E47" i="3"/>
  <c r="E42" i="3"/>
  <c r="E44" i="3"/>
  <c r="E46" i="3"/>
  <c r="E41" i="3"/>
  <c r="F41" i="3" s="1"/>
  <c r="E43" i="3"/>
  <c r="F43" i="3" s="1"/>
  <c r="F42" i="3"/>
  <c r="F31" i="3"/>
  <c r="F47" i="3"/>
  <c r="B35" i="2"/>
  <c r="C10" i="5"/>
  <c r="D10" i="5" s="1"/>
  <c r="E35" i="3"/>
  <c r="F35" i="3" s="1"/>
  <c r="E37" i="3"/>
  <c r="F37" i="3" s="1"/>
  <c r="E32" i="3"/>
  <c r="E34" i="3"/>
  <c r="E36" i="3"/>
  <c r="F36" i="3" s="1"/>
  <c r="E31" i="3"/>
  <c r="E33" i="3"/>
  <c r="F33" i="3" s="1"/>
  <c r="C14" i="5"/>
  <c r="D14" i="5" s="1"/>
  <c r="D34" i="3"/>
  <c r="F34" i="3" l="1"/>
  <c r="F3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4" authorId="0" shapeId="0" xr:uid="{00000000-0006-0000-0100-000001000000}">
      <text>
        <r>
          <rPr>
            <sz val="10"/>
            <rFont val="Noto Sans CJK SC"/>
            <family val="2"/>
          </rPr>
          <t>예시값</t>
        </r>
        <r>
          <rPr>
            <sz val="10"/>
            <rFont val="Arial"/>
            <family val="2"/>
          </rPr>
          <t xml:space="preserve">. Source: Reuters 2026-07-06 (10 ADR = </t>
        </r>
        <r>
          <rPr>
            <sz val="10"/>
            <rFont val="Noto Sans CJK SC"/>
            <family val="2"/>
          </rPr>
          <t xml:space="preserve">본주 </t>
        </r>
        <r>
          <rPr>
            <sz val="10"/>
            <rFont val="Arial"/>
            <family val="2"/>
          </rPr>
          <t>1</t>
        </r>
        <r>
          <rPr>
            <sz val="10"/>
            <rFont val="Noto Sans CJK SC"/>
            <family val="2"/>
          </rPr>
          <t>주</t>
        </r>
        <r>
          <rPr>
            <sz val="10"/>
            <rFont val="Arial"/>
            <family val="2"/>
          </rPr>
          <t>)</t>
        </r>
      </text>
    </comment>
    <comment ref="B7" authorId="0" shapeId="0" xr:uid="{00000000-0006-0000-0100-000002000000}">
      <text>
        <r>
          <rPr>
            <sz val="10"/>
            <rFont val="Arial"/>
            <family val="2"/>
          </rPr>
          <t xml:space="preserve">10 ADR = </t>
        </r>
        <r>
          <rPr>
            <sz val="10"/>
            <rFont val="Noto Sans CJK SC"/>
            <family val="2"/>
          </rPr>
          <t xml:space="preserve">본주 </t>
        </r>
        <r>
          <rPr>
            <sz val="10"/>
            <rFont val="Arial"/>
            <family val="2"/>
          </rPr>
          <t>1</t>
        </r>
        <r>
          <rPr>
            <sz val="10"/>
            <rFont val="Noto Sans CJK SC"/>
            <family val="2"/>
          </rPr>
          <t>주</t>
        </r>
        <r>
          <rPr>
            <sz val="10"/>
            <rFont val="Arial"/>
            <family val="2"/>
          </rPr>
          <t>. Source: Reuters 2026-07-06</t>
        </r>
      </text>
    </comment>
    <comment ref="B14" authorId="0" shapeId="0" xr:uid="{00000000-0006-0000-0100-000003000000}">
      <text>
        <r>
          <rPr>
            <sz val="10"/>
            <rFont val="Noto Sans CJK SC"/>
            <family val="2"/>
          </rPr>
          <t>예시값</t>
        </r>
        <r>
          <rPr>
            <sz val="10"/>
            <rFont val="Arial"/>
            <family val="2"/>
          </rPr>
          <t>. β_L = Cov(r_ETF, r_</t>
        </r>
        <r>
          <rPr>
            <sz val="10"/>
            <rFont val="Noto Sans CJK SC"/>
            <family val="2"/>
          </rPr>
          <t>본주</t>
        </r>
        <r>
          <rPr>
            <sz val="10"/>
            <rFont val="Arial"/>
            <family val="2"/>
          </rPr>
          <t>) / Var(r_</t>
        </r>
        <r>
          <rPr>
            <sz val="10"/>
            <rFont val="Noto Sans CJK SC"/>
            <family val="2"/>
          </rPr>
          <t>본주</t>
        </r>
        <r>
          <rPr>
            <sz val="10"/>
            <rFont val="Arial"/>
            <family val="2"/>
          </rPr>
          <t xml:space="preserve">) — </t>
        </r>
        <r>
          <rPr>
            <sz val="10"/>
            <rFont val="Noto Sans CJK SC"/>
            <family val="2"/>
          </rPr>
          <t xml:space="preserve">최근 </t>
        </r>
        <r>
          <rPr>
            <sz val="10"/>
            <rFont val="Arial"/>
            <family val="2"/>
          </rPr>
          <t>20~60</t>
        </r>
        <r>
          <rPr>
            <sz val="10"/>
            <rFont val="Noto Sans CJK SC"/>
            <family val="2"/>
          </rPr>
          <t>일 실측치로 갱신</t>
        </r>
      </text>
    </comment>
    <comment ref="B15" authorId="0" shapeId="0" xr:uid="{00000000-0006-0000-0100-000004000000}">
      <text>
        <r>
          <rPr>
            <sz val="10"/>
            <rFont val="Noto Sans CJK SC"/>
            <family val="2"/>
          </rPr>
          <t>선물지수 추종 상품 — 절댓값 베타 사용</t>
        </r>
      </text>
    </comment>
    <comment ref="B20" authorId="0" shapeId="0" xr:uid="{00000000-0006-0000-0100-000005000000}">
      <text>
        <r>
          <rPr>
            <sz val="10"/>
            <rFont val="Noto Sans CJK SC"/>
            <family val="2"/>
          </rPr>
          <t xml:space="preserve">신규 상장 초기 데이터 부족 — 최근 </t>
        </r>
        <r>
          <rPr>
            <sz val="10"/>
            <rFont val="Arial"/>
            <family val="2"/>
          </rPr>
          <t>20</t>
        </r>
        <r>
          <rPr>
            <sz val="10"/>
            <rFont val="Noto Sans CJK SC"/>
            <family val="2"/>
          </rPr>
          <t>일 괴리율 표준편차로 갱신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Model</author>
  </authors>
  <commentList>
    <comment ref="B10" authorId="0" shapeId="0" xr:uid="{00000000-0006-0000-0300-000001000000}">
      <text>
        <r>
          <rPr>
            <sz val="10"/>
            <rFont val="Noto Sans CJK SC"/>
            <family val="2"/>
          </rPr>
          <t xml:space="preserve">기본값 </t>
        </r>
        <r>
          <rPr>
            <sz val="10"/>
            <rFont val="Arial"/>
            <family val="2"/>
          </rPr>
          <t xml:space="preserve">= </t>
        </r>
        <r>
          <rPr>
            <sz val="10"/>
            <rFont val="Noto Sans CJK SC"/>
            <family val="2"/>
          </rPr>
          <t>현물 예상수익률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Noto Sans CJK SC"/>
            <family val="2"/>
          </rPr>
          <t>인버스는 선물지수 추종이므로 베이시스</t>
        </r>
        <r>
          <rPr>
            <sz val="10"/>
            <rFont val="Arial"/>
            <family val="2"/>
          </rPr>
          <t>·</t>
        </r>
        <r>
          <rPr>
            <sz val="10"/>
            <rFont val="Noto Sans CJK SC"/>
            <family val="2"/>
          </rPr>
          <t>만기 반영 시 수동 입력으로 대체</t>
        </r>
      </text>
    </comment>
  </commentList>
</comments>
</file>

<file path=xl/sharedStrings.xml><?xml version="1.0" encoding="utf-8"?>
<sst xmlns="http://schemas.openxmlformats.org/spreadsheetml/2006/main" count="255" uniqueCount="221">
  <si>
    <r>
      <rPr>
        <b/>
        <sz val="13"/>
        <color rgb="FF1F3864"/>
        <rFont val="맑은 고딕"/>
        <family val="3"/>
        <charset val="129"/>
      </rPr>
      <t>SK</t>
    </r>
    <r>
      <rPr>
        <b/>
        <sz val="13"/>
        <color rgb="FF1F3864"/>
        <rFont val="Noto Sans CJK SC"/>
        <family val="2"/>
      </rPr>
      <t xml:space="preserve">하이닉스 </t>
    </r>
    <r>
      <rPr>
        <b/>
        <sz val="13"/>
        <color rgb="FF1F3864"/>
        <rFont val="맑은 고딕"/>
        <family val="3"/>
        <charset val="129"/>
      </rPr>
      <t>ADR–</t>
    </r>
    <r>
      <rPr>
        <b/>
        <sz val="13"/>
        <color rgb="FF1F3864"/>
        <rFont val="Noto Sans CJK SC"/>
        <family val="2"/>
      </rPr>
      <t xml:space="preserve">레버리지 </t>
    </r>
    <r>
      <rPr>
        <b/>
        <sz val="13"/>
        <color rgb="FF1F3864"/>
        <rFont val="맑은 고딕"/>
        <family val="3"/>
        <charset val="129"/>
      </rPr>
      <t xml:space="preserve">ETF NAV </t>
    </r>
    <r>
      <rPr>
        <b/>
        <sz val="13"/>
        <color rgb="FF1F3864"/>
        <rFont val="Noto Sans CJK SC"/>
        <family val="2"/>
      </rPr>
      <t>괴리거래 모델</t>
    </r>
  </si>
  <si>
    <r>
      <rPr>
        <i/>
        <sz val="9"/>
        <color rgb="FF808080"/>
        <rFont val="Noto Sans CJK SC"/>
        <family val="2"/>
      </rPr>
      <t xml:space="preserve">기준일 </t>
    </r>
    <r>
      <rPr>
        <i/>
        <sz val="9"/>
        <color rgb="FF808080"/>
        <rFont val="맑은 고딕"/>
        <family val="3"/>
        <charset val="129"/>
      </rPr>
      <t xml:space="preserve">2026-07-08 | </t>
    </r>
    <r>
      <rPr>
        <i/>
        <sz val="9"/>
        <color rgb="FF808080"/>
        <rFont val="Noto Sans CJK SC"/>
        <family val="2"/>
      </rPr>
      <t>성격</t>
    </r>
    <r>
      <rPr>
        <i/>
        <sz val="9"/>
        <color rgb="FF808080"/>
        <rFont val="맑은 고딕"/>
        <family val="3"/>
        <charset val="129"/>
      </rPr>
      <t xml:space="preserve">: </t>
    </r>
    <r>
      <rPr>
        <i/>
        <sz val="9"/>
        <color rgb="FF808080"/>
        <rFont val="Noto Sans CJK SC"/>
        <family val="2"/>
      </rPr>
      <t xml:space="preserve">델타 중립형 통계적 차익거래 </t>
    </r>
    <r>
      <rPr>
        <i/>
        <sz val="9"/>
        <color rgb="FF808080"/>
        <rFont val="맑은 고딕"/>
        <family val="3"/>
        <charset val="129"/>
      </rPr>
      <t>(</t>
    </r>
    <r>
      <rPr>
        <i/>
        <sz val="9"/>
        <color rgb="FF808080"/>
        <rFont val="Noto Sans CJK SC"/>
        <family val="2"/>
      </rPr>
      <t>상호 전환 불가 → 무위험 차익 아님</t>
    </r>
    <r>
      <rPr>
        <i/>
        <sz val="9"/>
        <color rgb="FF808080"/>
        <rFont val="맑은 고딕"/>
        <family val="3"/>
        <charset val="129"/>
      </rPr>
      <t>)</t>
    </r>
  </si>
  <si>
    <t>핵심 전략 매트릭스</t>
  </si>
  <si>
    <r>
      <rPr>
        <b/>
        <sz val="10"/>
        <rFont val="맑은 고딕"/>
        <family val="3"/>
        <charset val="129"/>
      </rPr>
      <t xml:space="preserve">ADR </t>
    </r>
    <r>
      <rPr>
        <b/>
        <sz val="10"/>
        <rFont val="Noto Sans CJK SC"/>
        <family val="2"/>
      </rPr>
      <t>상태</t>
    </r>
  </si>
  <si>
    <r>
      <rPr>
        <b/>
        <sz val="10"/>
        <rFont val="맑은 고딕"/>
        <family val="3"/>
        <charset val="129"/>
      </rPr>
      <t xml:space="preserve">ADR </t>
    </r>
    <r>
      <rPr>
        <b/>
        <sz val="10"/>
        <rFont val="Noto Sans CJK SC"/>
        <family val="2"/>
      </rPr>
      <t>포지션</t>
    </r>
  </si>
  <si>
    <r>
      <rPr>
        <b/>
        <sz val="10"/>
        <rFont val="Noto Sans CJK SC"/>
        <family val="2"/>
      </rPr>
      <t xml:space="preserve">국내 </t>
    </r>
    <r>
      <rPr>
        <b/>
        <sz val="10"/>
        <rFont val="맑은 고딕"/>
        <family val="3"/>
        <charset val="129"/>
      </rPr>
      <t xml:space="preserve">ETF </t>
    </r>
    <r>
      <rPr>
        <b/>
        <sz val="10"/>
        <rFont val="Noto Sans CJK SC"/>
        <family val="2"/>
      </rPr>
      <t>포지션</t>
    </r>
  </si>
  <si>
    <r>
      <rPr>
        <sz val="10"/>
        <rFont val="맑은 고딕"/>
        <family val="3"/>
        <charset val="129"/>
      </rPr>
      <t>ADR</t>
    </r>
    <r>
      <rPr>
        <sz val="10"/>
        <rFont val="Noto Sans CJK SC"/>
        <family val="2"/>
      </rPr>
      <t>가 본주 대비 고평가</t>
    </r>
  </si>
  <si>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>공매도</t>
    </r>
  </si>
  <si>
    <r>
      <rPr>
        <sz val="10"/>
        <rFont val="Noto Sans CJK SC"/>
        <family val="2"/>
      </rPr>
      <t xml:space="preserve">레버리지 </t>
    </r>
    <r>
      <rPr>
        <sz val="10"/>
        <rFont val="맑은 고딕"/>
        <family val="3"/>
        <charset val="129"/>
      </rPr>
      <t xml:space="preserve">ETF </t>
    </r>
    <r>
      <rPr>
        <sz val="10"/>
        <rFont val="Noto Sans CJK SC"/>
        <family val="2"/>
      </rPr>
      <t xml:space="preserve">매수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금액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명목</t>
    </r>
    <r>
      <rPr>
        <sz val="10"/>
        <rFont val="맑은 고딕"/>
        <family val="3"/>
        <charset val="129"/>
      </rPr>
      <t>/β_L)</t>
    </r>
  </si>
  <si>
    <r>
      <rPr>
        <sz val="10"/>
        <rFont val="맑은 고딕"/>
        <family val="3"/>
        <charset val="129"/>
      </rPr>
      <t>ADR</t>
    </r>
    <r>
      <rPr>
        <sz val="10"/>
        <rFont val="Noto Sans CJK SC"/>
        <family val="2"/>
      </rPr>
      <t>가 본주 대비 저평가</t>
    </r>
  </si>
  <si>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>매수</t>
    </r>
  </si>
  <si>
    <r>
      <rPr>
        <sz val="10"/>
        <rFont val="Noto Sans CJK SC"/>
        <family val="2"/>
      </rPr>
      <t>인버스</t>
    </r>
    <r>
      <rPr>
        <sz val="10"/>
        <rFont val="맑은 고딕"/>
        <family val="3"/>
        <charset val="129"/>
      </rPr>
      <t xml:space="preserve">2X ETF </t>
    </r>
    <r>
      <rPr>
        <sz val="10"/>
        <rFont val="Noto Sans CJK SC"/>
        <family val="2"/>
      </rPr>
      <t xml:space="preserve">매수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 xml:space="preserve">금액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명목</t>
    </r>
    <r>
      <rPr>
        <sz val="10"/>
        <rFont val="맑은 고딕"/>
        <family val="3"/>
        <charset val="129"/>
      </rPr>
      <t>/|β_I|)</t>
    </r>
  </si>
  <si>
    <r>
      <rPr>
        <sz val="10"/>
        <rFont val="맑은 고딕"/>
        <family val="3"/>
        <charset val="129"/>
      </rPr>
      <t>· ADR 10</t>
    </r>
    <r>
      <rPr>
        <sz val="10"/>
        <rFont val="Noto Sans CJK SC"/>
        <family val="2"/>
      </rPr>
      <t xml:space="preserve">주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 xml:space="preserve">본주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 xml:space="preserve">주 </t>
    </r>
    <r>
      <rPr>
        <sz val="10"/>
        <rFont val="맑은 고딕"/>
        <family val="3"/>
        <charset val="129"/>
      </rPr>
      <t>(Source: Reuters, 2026-07-06, SK Hynix $28bn US listing)</t>
    </r>
  </si>
  <si>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>양 전략 모두 원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달러 환헤지 필수 </t>
    </r>
    <r>
      <rPr>
        <sz val="10"/>
        <rFont val="맑은 고딕"/>
        <family val="3"/>
        <charset val="129"/>
      </rPr>
      <t xml:space="preserve">(ADR </t>
    </r>
    <r>
      <rPr>
        <sz val="10"/>
        <rFont val="Noto Sans CJK SC"/>
        <family val="2"/>
      </rPr>
      <t xml:space="preserve">달러 표시 ↔ </t>
    </r>
    <r>
      <rPr>
        <sz val="10"/>
        <rFont val="맑은 고딕"/>
        <family val="3"/>
        <charset val="129"/>
      </rPr>
      <t xml:space="preserve">ETF </t>
    </r>
    <r>
      <rPr>
        <sz val="10"/>
        <rFont val="Noto Sans CJK SC"/>
        <family val="2"/>
      </rPr>
      <t>원화 표시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</si>
  <si>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· 1</t>
    </r>
    <r>
      <rPr>
        <sz val="10"/>
        <rFont val="Noto Sans CJK SC"/>
        <family val="2"/>
      </rPr>
      <t>단계 권장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전략② </t>
    </r>
    <r>
      <rPr>
        <sz val="10"/>
        <rFont val="맑은 고딕"/>
        <family val="3"/>
        <charset val="129"/>
      </rPr>
      <t xml:space="preserve">(ADR </t>
    </r>
    <r>
      <rPr>
        <sz val="10"/>
        <rFont val="Noto Sans CJK SC"/>
        <family val="2"/>
      </rPr>
      <t xml:space="preserve">저평가 시 </t>
    </r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 xml:space="preserve">매수 </t>
    </r>
    <r>
      <rPr>
        <sz val="10"/>
        <rFont val="맑은 고딕"/>
        <family val="3"/>
        <charset val="129"/>
      </rPr>
      <t xml:space="preserve">+ SOL </t>
    </r>
    <r>
      <rPr>
        <sz val="10"/>
        <rFont val="Noto Sans CJK SC"/>
        <family val="2"/>
      </rPr>
      <t>인버스</t>
    </r>
    <r>
      <rPr>
        <sz val="10"/>
        <rFont val="맑은 고딕"/>
        <family val="3"/>
        <charset val="129"/>
      </rPr>
      <t xml:space="preserve">2X </t>
    </r>
    <r>
      <rPr>
        <sz val="10"/>
        <rFont val="Noto Sans CJK SC"/>
        <family val="2"/>
      </rPr>
      <t>매수 — 공매도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대차 불필요</t>
    </r>
    <r>
      <rPr>
        <sz val="10"/>
        <rFont val="맑은 고딕"/>
        <family val="3"/>
        <charset val="129"/>
      </rPr>
      <t>)</t>
    </r>
  </si>
  <si>
    <t>시트 구성</t>
  </si>
  <si>
    <t>대시보드</t>
  </si>
  <si>
    <r>
      <rPr>
        <sz val="10"/>
        <rFont val="Noto Sans CJK SC"/>
        <family val="2"/>
      </rPr>
      <t xml:space="preserve">시장 데이터 입력 → </t>
    </r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>프리미엄</t>
    </r>
    <r>
      <rPr>
        <sz val="10"/>
        <rFont val="맑은 고딕"/>
        <family val="3"/>
        <charset val="129"/>
      </rPr>
      <t xml:space="preserve">·ETF </t>
    </r>
    <r>
      <rPr>
        <sz val="10"/>
        <rFont val="Noto Sans CJK SC"/>
        <family val="2"/>
      </rPr>
      <t>괴리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진입 신호 자동 판정</t>
    </r>
  </si>
  <si>
    <t>포지션계산</t>
  </si>
  <si>
    <r>
      <rPr>
        <sz val="10"/>
        <rFont val="Noto Sans CJK SC"/>
        <family val="2"/>
      </rPr>
      <t xml:space="preserve">베타 조정 델타 중립 포지션 규모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 xml:space="preserve">시나리오 </t>
    </r>
    <r>
      <rPr>
        <sz val="10"/>
        <rFont val="맑은 고딕"/>
        <family val="3"/>
        <charset val="129"/>
      </rPr>
      <t>P&amp;L</t>
    </r>
  </si>
  <si>
    <t>개장가예측</t>
  </si>
  <si>
    <r>
      <rPr>
        <sz val="10"/>
        <rFont val="Noto Sans CJK SC"/>
        <family val="2"/>
      </rPr>
      <t xml:space="preserve">야간 </t>
    </r>
    <r>
      <rPr>
        <sz val="10"/>
        <rFont val="맑은 고딕"/>
        <family val="3"/>
        <charset val="129"/>
      </rPr>
      <t xml:space="preserve">ADR → </t>
    </r>
    <r>
      <rPr>
        <sz val="10"/>
        <rFont val="Noto Sans CJK SC"/>
        <family val="2"/>
      </rPr>
      <t>다음날 시초가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예상 </t>
    </r>
    <r>
      <rPr>
        <sz val="10"/>
        <rFont val="맑은 고딕"/>
        <family val="3"/>
        <charset val="129"/>
      </rPr>
      <t xml:space="preserve">NAV </t>
    </r>
    <r>
      <rPr>
        <sz val="10"/>
        <rFont val="Noto Sans CJK SC"/>
        <family val="2"/>
      </rPr>
      <t>계산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개장 후 괴리 판정</t>
    </r>
  </si>
  <si>
    <t>진입청산규칙</t>
  </si>
  <si>
    <r>
      <rPr>
        <sz val="10"/>
        <rFont val="Noto Sans CJK SC"/>
        <family val="2"/>
      </rPr>
      <t xml:space="preserve">진입 </t>
    </r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개 조건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청산 </t>
    </r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 xml:space="preserve">개 조건 체크리스트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대시보드 연동 자동 판정</t>
    </r>
    <r>
      <rPr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</si>
  <si>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>ETF</t>
    </r>
    <r>
      <rPr>
        <b/>
        <sz val="10"/>
        <rFont val="Noto Sans CJK SC"/>
        <family val="2"/>
      </rPr>
      <t>후보</t>
    </r>
  </si>
  <si>
    <r>
      <rPr>
        <sz val="10"/>
        <rFont val="Noto Sans CJK SC"/>
        <family val="2"/>
      </rPr>
      <t xml:space="preserve">레버리지 </t>
    </r>
    <r>
      <rPr>
        <sz val="10"/>
        <rFont val="맑은 고딕"/>
        <family val="3"/>
        <charset val="129"/>
      </rPr>
      <t>7</t>
    </r>
    <r>
      <rPr>
        <sz val="10"/>
        <rFont val="Noto Sans CJK SC"/>
        <family val="2"/>
      </rPr>
      <t xml:space="preserve">종 </t>
    </r>
    <r>
      <rPr>
        <sz val="10"/>
        <rFont val="맑은 고딕"/>
        <family val="3"/>
        <charset val="129"/>
      </rPr>
      <t xml:space="preserve">+ </t>
    </r>
    <r>
      <rPr>
        <sz val="10"/>
        <rFont val="Noto Sans CJK SC"/>
        <family val="2"/>
      </rPr>
      <t>인버스</t>
    </r>
    <r>
      <rPr>
        <sz val="10"/>
        <rFont val="맑은 고딕"/>
        <family val="3"/>
        <charset val="129"/>
      </rPr>
      <t xml:space="preserve">2X </t>
    </r>
    <r>
      <rPr>
        <sz val="10"/>
        <rFont val="Noto Sans CJK SC"/>
        <family val="2"/>
      </rPr>
      <t>후보와 선정 기준</t>
    </r>
  </si>
  <si>
    <t>리스크</t>
  </si>
  <si>
    <r>
      <rPr>
        <sz val="10"/>
        <rFont val="맑은 고딕"/>
        <family val="3"/>
        <charset val="129"/>
      </rPr>
      <t>5</t>
    </r>
    <r>
      <rPr>
        <sz val="10"/>
        <rFont val="Noto Sans CJK SC"/>
        <family val="2"/>
      </rPr>
      <t>대 리스크와 대응</t>
    </r>
  </si>
  <si>
    <t>색상 범례</t>
  </si>
  <si>
    <r>
      <rPr>
        <sz val="10"/>
        <color rgb="FF0000FF"/>
        <rFont val="Noto Sans CJK SC"/>
        <family val="2"/>
      </rPr>
      <t xml:space="preserve">파란 글씨 </t>
    </r>
    <r>
      <rPr>
        <sz val="10"/>
        <color rgb="FF0000FF"/>
        <rFont val="맑은 고딕"/>
        <family val="3"/>
        <charset val="129"/>
      </rPr>
      <t xml:space="preserve">= </t>
    </r>
    <r>
      <rPr>
        <sz val="10"/>
        <color rgb="FF0000FF"/>
        <rFont val="Noto Sans CJK SC"/>
        <family val="2"/>
      </rPr>
      <t>직접 입력값</t>
    </r>
  </si>
  <si>
    <r>
      <rPr>
        <sz val="10"/>
        <rFont val="Noto Sans CJK SC"/>
        <family val="2"/>
      </rPr>
      <t xml:space="preserve">검정 글씨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수식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자동 계산</t>
    </r>
    <r>
      <rPr>
        <sz val="10"/>
        <rFont val="맑은 고딕"/>
        <family val="3"/>
        <charset val="129"/>
      </rPr>
      <t>)</t>
    </r>
  </si>
  <si>
    <r>
      <rPr>
        <sz val="10"/>
        <color rgb="FF008000"/>
        <rFont val="Noto Sans CJK SC"/>
        <family val="2"/>
      </rPr>
      <t xml:space="preserve">초록 글씨 </t>
    </r>
    <r>
      <rPr>
        <sz val="10"/>
        <color rgb="FF008000"/>
        <rFont val="맑은 고딕"/>
        <family val="3"/>
        <charset val="129"/>
      </rPr>
      <t xml:space="preserve">= </t>
    </r>
    <r>
      <rPr>
        <sz val="10"/>
        <color rgb="FF008000"/>
        <rFont val="Noto Sans CJK SC"/>
        <family val="2"/>
      </rPr>
      <t>다른 시트 연동값</t>
    </r>
  </si>
  <si>
    <r>
      <rPr>
        <sz val="10"/>
        <rFont val="Noto Sans CJK SC"/>
        <family val="2"/>
      </rPr>
      <t xml:space="preserve">노란 배경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데이터 축적 후 갱신 필요한 핵심 가정</t>
    </r>
  </si>
  <si>
    <r>
      <rPr>
        <i/>
        <sz val="9"/>
        <color rgb="FF808080"/>
        <rFont val="Noto Sans CJK SC"/>
        <family val="2"/>
      </rPr>
      <t>※ 본 파일은 분석</t>
    </r>
    <r>
      <rPr>
        <i/>
        <sz val="9"/>
        <color rgb="FF808080"/>
        <rFont val="맑은 고딕"/>
        <family val="3"/>
        <charset val="129"/>
      </rPr>
      <t>·</t>
    </r>
    <r>
      <rPr>
        <i/>
        <sz val="9"/>
        <color rgb="FF808080"/>
        <rFont val="Noto Sans CJK SC"/>
        <family val="2"/>
      </rPr>
      <t>교육용 모델이며 투자 권유가 아닙니다</t>
    </r>
    <r>
      <rPr>
        <i/>
        <sz val="9"/>
        <color rgb="FF808080"/>
        <rFont val="맑은 고딕"/>
        <family val="3"/>
        <charset val="129"/>
      </rPr>
      <t xml:space="preserve">. </t>
    </r>
    <r>
      <rPr>
        <i/>
        <sz val="9"/>
        <color rgb="FF808080"/>
        <rFont val="Noto Sans CJK SC"/>
        <family val="2"/>
      </rPr>
      <t>실거래 전 대차 가능 여부</t>
    </r>
    <r>
      <rPr>
        <i/>
        <sz val="9"/>
        <color rgb="FF808080"/>
        <rFont val="맑은 고딕"/>
        <family val="3"/>
        <charset val="129"/>
      </rPr>
      <t>·</t>
    </r>
    <r>
      <rPr>
        <i/>
        <sz val="9"/>
        <color rgb="FF808080"/>
        <rFont val="Noto Sans CJK SC"/>
        <family val="2"/>
      </rPr>
      <t>비용</t>
    </r>
    <r>
      <rPr>
        <i/>
        <sz val="9"/>
        <color rgb="FF808080"/>
        <rFont val="맑은 고딕"/>
        <family val="3"/>
        <charset val="129"/>
      </rPr>
      <t>·</t>
    </r>
    <r>
      <rPr>
        <i/>
        <sz val="9"/>
        <color rgb="FF808080"/>
        <rFont val="Noto Sans CJK SC"/>
        <family val="2"/>
      </rPr>
      <t>규제를 반드시 확인하십시오</t>
    </r>
    <r>
      <rPr>
        <i/>
        <sz val="9"/>
        <color rgb="FF808080"/>
        <rFont val="맑은 고딕"/>
        <family val="3"/>
        <charset val="129"/>
      </rPr>
      <t>.</t>
    </r>
  </si>
  <si>
    <t>① 신호 대시보드</t>
  </si>
  <si>
    <t>시장 데이터 입력</t>
  </si>
  <si>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 xml:space="preserve">가격 </t>
    </r>
    <r>
      <rPr>
        <sz val="10"/>
        <rFont val="맑은 고딕"/>
        <family val="3"/>
        <charset val="129"/>
      </rPr>
      <t>($)</t>
    </r>
  </si>
  <si>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 xml:space="preserve">달러 환율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/$)</t>
    </r>
  </si>
  <si>
    <r>
      <rPr>
        <sz val="10"/>
        <rFont val="맑은 고딕"/>
        <family val="3"/>
        <charset val="129"/>
      </rPr>
      <t>SK</t>
    </r>
    <r>
      <rPr>
        <sz val="10"/>
        <rFont val="Noto Sans CJK SC"/>
        <family val="2"/>
      </rPr>
      <t xml:space="preserve">하이닉스 본주가격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</si>
  <si>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 xml:space="preserve">전환비율 </t>
    </r>
    <r>
      <rPr>
        <sz val="10"/>
        <rFont val="맑은 고딕"/>
        <family val="3"/>
        <charset val="129"/>
      </rPr>
      <t>(ADR</t>
    </r>
    <r>
      <rPr>
        <sz val="10"/>
        <rFont val="Noto Sans CJK SC"/>
        <family val="2"/>
      </rPr>
      <t>주 수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 xml:space="preserve">본주 </t>
    </r>
    <r>
      <rPr>
        <sz val="10"/>
        <rFont val="맑은 고딕"/>
        <family val="3"/>
        <charset val="129"/>
      </rPr>
      <t>1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</si>
  <si>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레버리지 </t>
    </r>
    <r>
      <rPr>
        <sz val="10"/>
        <rFont val="맑은 고딕"/>
        <family val="3"/>
        <charset val="129"/>
      </rPr>
      <t xml:space="preserve">ETF </t>
    </r>
    <r>
      <rPr>
        <sz val="10"/>
        <rFont val="Noto Sans CJK SC"/>
        <family val="2"/>
      </rPr>
      <t xml:space="preserve">시장가격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</si>
  <si>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레버리지 </t>
    </r>
    <r>
      <rPr>
        <sz val="10"/>
        <rFont val="맑은 고딕"/>
        <family val="3"/>
        <charset val="129"/>
      </rPr>
      <t>ETF iNAV 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</si>
  <si>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인버스</t>
    </r>
    <r>
      <rPr>
        <sz val="10"/>
        <rFont val="맑은 고딕"/>
        <family val="3"/>
        <charset val="129"/>
      </rPr>
      <t xml:space="preserve">2X ETF </t>
    </r>
    <r>
      <rPr>
        <sz val="10"/>
        <rFont val="Noto Sans CJK SC"/>
        <family val="2"/>
      </rPr>
      <t xml:space="preserve">시장가격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</si>
  <si>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인버스</t>
    </r>
    <r>
      <rPr>
        <sz val="10"/>
        <rFont val="맑은 고딕"/>
        <family val="3"/>
        <charset val="129"/>
      </rPr>
      <t>2X ETF iNAV 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</si>
  <si>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t>파라미터</t>
  </si>
  <si>
    <r>
      <rPr>
        <sz val="10"/>
        <rFont val="Noto Sans CJK SC"/>
        <family val="2"/>
      </rPr>
      <t xml:space="preserve">레버리지 </t>
    </r>
    <r>
      <rPr>
        <sz val="10"/>
        <rFont val="맑은 고딕"/>
        <family val="3"/>
        <charset val="129"/>
      </rPr>
      <t xml:space="preserve">ETF </t>
    </r>
    <r>
      <rPr>
        <sz val="10"/>
        <rFont val="Noto Sans CJK SC"/>
        <family val="2"/>
      </rPr>
      <t xml:space="preserve">실측베타 </t>
    </r>
    <r>
      <rPr>
        <sz val="10"/>
        <rFont val="맑은 고딕"/>
        <family val="3"/>
        <charset val="129"/>
      </rPr>
      <t>β_L</t>
    </r>
  </si>
  <si>
    <r>
      <rPr>
        <sz val="10"/>
        <rFont val="Noto Sans CJK SC"/>
        <family val="2"/>
      </rPr>
      <t xml:space="preserve">인버스 </t>
    </r>
    <r>
      <rPr>
        <sz val="10"/>
        <rFont val="맑은 고딕"/>
        <family val="3"/>
        <charset val="129"/>
      </rPr>
      <t xml:space="preserve">ETF </t>
    </r>
    <r>
      <rPr>
        <sz val="10"/>
        <rFont val="Noto Sans CJK SC"/>
        <family val="2"/>
      </rPr>
      <t xml:space="preserve">실측베타 </t>
    </r>
    <r>
      <rPr>
        <sz val="10"/>
        <rFont val="맑은 고딕"/>
        <family val="3"/>
        <charset val="129"/>
      </rPr>
      <t>β_I</t>
    </r>
  </si>
  <si>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 xml:space="preserve">포지션 명목금액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</si>
  <si>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총거래비용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수수료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세금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대차료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환헤지</t>
    </r>
    <r>
      <rPr>
        <sz val="10"/>
        <rFont val="맑은 고딕"/>
        <family val="3"/>
        <charset val="129"/>
      </rPr>
      <t>)</t>
    </r>
  </si>
  <si>
    <t>안전마진</t>
  </si>
  <si>
    <r>
      <rPr>
        <sz val="10"/>
        <rFont val="Noto Sans CJK SC"/>
        <family val="2"/>
      </rPr>
      <t xml:space="preserve">괴리율 평균 </t>
    </r>
    <r>
      <rPr>
        <sz val="10"/>
        <rFont val="맑은 고딕"/>
        <family val="3"/>
        <charset val="129"/>
      </rPr>
      <t>μ (</t>
    </r>
    <r>
      <rPr>
        <sz val="10"/>
        <rFont val="Noto Sans CJK SC"/>
        <family val="2"/>
      </rPr>
      <t>과거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</si>
  <si>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괴리율 표준편차 </t>
    </r>
    <r>
      <rPr>
        <sz val="10"/>
        <rFont val="맑은 고딕"/>
        <family val="3"/>
        <charset val="129"/>
      </rPr>
      <t>σ (</t>
    </r>
    <r>
      <rPr>
        <sz val="10"/>
        <rFont val="Noto Sans CJK SC"/>
        <family val="2"/>
      </rPr>
      <t>과거</t>
    </r>
    <r>
      <rPr>
        <sz val="10"/>
        <rFont val="맑은 고딕"/>
        <family val="3"/>
        <charset val="129"/>
      </rPr>
      <t>)</t>
    </r>
  </si>
  <si>
    <t>계산 결과</t>
  </si>
  <si>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 xml:space="preserve">환산 본주가격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 xml:space="preserve">) = </t>
    </r>
    <r>
      <rPr>
        <sz val="10"/>
        <rFont val="Noto Sans CJK SC"/>
        <family val="2"/>
      </rPr>
      <t>비율</t>
    </r>
    <r>
      <rPr>
        <sz val="10"/>
        <rFont val="맑은 고딕"/>
        <family val="3"/>
        <charset val="129"/>
      </rPr>
      <t>×ADR×</t>
    </r>
    <r>
      <rPr>
        <sz val="10"/>
        <rFont val="Noto Sans CJK SC"/>
        <family val="2"/>
      </rPr>
      <t>환율</t>
    </r>
  </si>
  <si>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 xml:space="preserve">프리미엄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환산가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 xml:space="preserve">본주 − </t>
    </r>
    <r>
      <rPr>
        <sz val="10"/>
        <rFont val="맑은 고딕"/>
        <family val="3"/>
        <charset val="129"/>
      </rPr>
      <t>1</t>
    </r>
  </si>
  <si>
    <r>
      <rPr>
        <sz val="10"/>
        <rFont val="Noto Sans CJK SC"/>
        <family val="2"/>
      </rPr>
      <t xml:space="preserve">레버리지 </t>
    </r>
    <r>
      <rPr>
        <sz val="10"/>
        <rFont val="맑은 고딕"/>
        <family val="3"/>
        <charset val="129"/>
      </rPr>
      <t xml:space="preserve">ETF </t>
    </r>
    <r>
      <rPr>
        <sz val="10"/>
        <rFont val="Noto Sans CJK SC"/>
        <family val="2"/>
      </rPr>
      <t xml:space="preserve">괴리율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시장가</t>
    </r>
    <r>
      <rPr>
        <sz val="10"/>
        <rFont val="맑은 고딕"/>
        <family val="3"/>
        <charset val="129"/>
      </rPr>
      <t>/iNAV − 1</t>
    </r>
  </si>
  <si>
    <r>
      <rPr>
        <sz val="10"/>
        <rFont val="Noto Sans CJK SC"/>
        <family val="2"/>
      </rPr>
      <t xml:space="preserve">인버스 </t>
    </r>
    <r>
      <rPr>
        <sz val="10"/>
        <rFont val="맑은 고딕"/>
        <family val="3"/>
        <charset val="129"/>
      </rPr>
      <t xml:space="preserve">ETF </t>
    </r>
    <r>
      <rPr>
        <sz val="10"/>
        <rFont val="Noto Sans CJK SC"/>
        <family val="2"/>
      </rPr>
      <t xml:space="preserve">괴리율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시장가</t>
    </r>
    <r>
      <rPr>
        <sz val="10"/>
        <rFont val="맑은 고딕"/>
        <family val="3"/>
        <charset val="129"/>
      </rPr>
      <t>/iNAV − 1</t>
    </r>
  </si>
  <si>
    <r>
      <rPr>
        <sz val="10"/>
        <rFont val="Noto Sans CJK SC"/>
        <family val="2"/>
      </rPr>
      <t xml:space="preserve">진입기준 </t>
    </r>
    <r>
      <rPr>
        <sz val="10"/>
        <rFont val="맑은 고딕"/>
        <family val="3"/>
        <charset val="129"/>
      </rPr>
      <t xml:space="preserve">= MAX(2.5σ, </t>
    </r>
    <r>
      <rPr>
        <sz val="10"/>
        <rFont val="Noto Sans CJK SC"/>
        <family val="2"/>
      </rPr>
      <t>총비용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안전마진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</si>
  <si>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표준화 괴리 </t>
    </r>
    <r>
      <rPr>
        <sz val="10"/>
        <rFont val="맑은 고딕"/>
        <family val="3"/>
        <charset val="129"/>
      </rPr>
      <t>Z = (</t>
    </r>
    <r>
      <rPr>
        <sz val="10"/>
        <rFont val="Noto Sans CJK SC"/>
        <family val="2"/>
      </rPr>
      <t>프리미엄−</t>
    </r>
    <r>
      <rPr>
        <sz val="10"/>
        <rFont val="맑은 고딕"/>
        <family val="3"/>
        <charset val="129"/>
      </rPr>
      <t>μ)/σ</t>
    </r>
  </si>
  <si>
    <r>
      <rPr>
        <sz val="10"/>
        <rFont val="Noto Sans CJK SC"/>
        <family val="2"/>
      </rPr>
      <t xml:space="preserve">전략① 유효엣지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프리미엄 − 레버리지 괴리</t>
    </r>
  </si>
  <si>
    <r>
      <rPr>
        <sz val="10"/>
        <rFont val="Noto Sans CJK SC"/>
        <family val="2"/>
      </rPr>
      <t xml:space="preserve">전략② 유효엣지 </t>
    </r>
    <r>
      <rPr>
        <sz val="10"/>
        <rFont val="맑은 고딕"/>
        <family val="3"/>
        <charset val="129"/>
      </rPr>
      <t>= −</t>
    </r>
    <r>
      <rPr>
        <sz val="10"/>
        <rFont val="Noto Sans CJK SC"/>
        <family val="2"/>
      </rPr>
      <t>프리미엄 − 인버스 괴리</t>
    </r>
  </si>
  <si>
    <t>신호 판정</t>
  </si>
  <si>
    <t>판정</t>
  </si>
  <si>
    <r>
      <rPr>
        <sz val="10"/>
        <rFont val="Noto Sans CJK SC"/>
        <family val="2"/>
      </rPr>
      <t xml:space="preserve">예상 순이익률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해당 전략 엣지 − 총비용</t>
    </r>
  </si>
  <si>
    <r>
      <rPr>
        <sz val="10"/>
        <rFont val="Noto Sans CJK SC"/>
        <family val="2"/>
      </rPr>
      <t xml:space="preserve">수익성 체크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순이익 ≥ 총비용</t>
    </r>
    <r>
      <rPr>
        <sz val="10"/>
        <rFont val="맑은 고딕"/>
        <family val="3"/>
        <charset val="129"/>
      </rPr>
      <t>×2)</t>
    </r>
  </si>
  <si>
    <r>
      <rPr>
        <i/>
        <sz val="9"/>
        <color rgb="FF808080"/>
        <rFont val="맑은 고딕"/>
        <family val="3"/>
        <charset val="129"/>
      </rPr>
      <t xml:space="preserve">· </t>
    </r>
    <r>
      <rPr>
        <i/>
        <sz val="9"/>
        <color rgb="FF808080"/>
        <rFont val="Noto Sans CJK SC"/>
        <family val="2"/>
      </rPr>
      <t>최적 진입 ①</t>
    </r>
    <r>
      <rPr>
        <i/>
        <sz val="9"/>
        <color rgb="FF808080"/>
        <rFont val="맑은 고딕"/>
        <family val="3"/>
        <charset val="129"/>
      </rPr>
      <t xml:space="preserve">: ADR </t>
    </r>
    <r>
      <rPr>
        <i/>
        <sz val="9"/>
        <color rgb="FF808080"/>
        <rFont val="Noto Sans CJK SC"/>
        <family val="2"/>
      </rPr>
      <t xml:space="preserve">고평가 </t>
    </r>
    <r>
      <rPr>
        <i/>
        <sz val="9"/>
        <color rgb="FF808080"/>
        <rFont val="맑은 고딕"/>
        <family val="3"/>
        <charset val="129"/>
      </rPr>
      <t xml:space="preserve">+ </t>
    </r>
    <r>
      <rPr>
        <i/>
        <sz val="9"/>
        <color rgb="FF808080"/>
        <rFont val="Noto Sans CJK SC"/>
        <family val="2"/>
      </rPr>
      <t xml:space="preserve">레버리지 </t>
    </r>
    <r>
      <rPr>
        <i/>
        <sz val="9"/>
        <color rgb="FF808080"/>
        <rFont val="맑은 고딕"/>
        <family val="3"/>
        <charset val="129"/>
      </rPr>
      <t>ETF</t>
    </r>
    <r>
      <rPr>
        <i/>
        <sz val="9"/>
        <color rgb="FF808080"/>
        <rFont val="Noto Sans CJK SC"/>
        <family val="2"/>
      </rPr>
      <t xml:space="preserve">가 </t>
    </r>
    <r>
      <rPr>
        <i/>
        <sz val="9"/>
        <color rgb="FF808080"/>
        <rFont val="맑은 고딕"/>
        <family val="3"/>
        <charset val="129"/>
      </rPr>
      <t xml:space="preserve">NAV </t>
    </r>
    <r>
      <rPr>
        <i/>
        <sz val="9"/>
        <color rgb="FF808080"/>
        <rFont val="Noto Sans CJK SC"/>
        <family val="2"/>
      </rPr>
      <t>대비 저평가</t>
    </r>
    <r>
      <rPr>
        <i/>
        <sz val="9"/>
        <color rgb="FF808080"/>
        <rFont val="맑은 고딕"/>
        <family val="3"/>
        <charset val="129"/>
      </rPr>
      <t>(</t>
    </r>
    <r>
      <rPr>
        <i/>
        <sz val="9"/>
        <color rgb="FF808080"/>
        <rFont val="Noto Sans CJK SC"/>
        <family val="2"/>
      </rPr>
      <t xml:space="preserve">괴리 ≤ </t>
    </r>
    <r>
      <rPr>
        <i/>
        <sz val="9"/>
        <color rgb="FF808080"/>
        <rFont val="맑은 고딕"/>
        <family val="3"/>
        <charset val="129"/>
      </rPr>
      <t>0)</t>
    </r>
  </si>
  <si>
    <r>
      <rPr>
        <i/>
        <sz val="9"/>
        <color rgb="FF808080"/>
        <rFont val="맑은 고딕"/>
        <family val="3"/>
        <charset val="129"/>
      </rPr>
      <t xml:space="preserve">· </t>
    </r>
    <r>
      <rPr>
        <i/>
        <sz val="9"/>
        <color rgb="FF808080"/>
        <rFont val="Noto Sans CJK SC"/>
        <family val="2"/>
      </rPr>
      <t>최적 진입 ②</t>
    </r>
    <r>
      <rPr>
        <i/>
        <sz val="9"/>
        <color rgb="FF808080"/>
        <rFont val="맑은 고딕"/>
        <family val="3"/>
        <charset val="129"/>
      </rPr>
      <t xml:space="preserve">: ADR </t>
    </r>
    <r>
      <rPr>
        <i/>
        <sz val="9"/>
        <color rgb="FF808080"/>
        <rFont val="Noto Sans CJK SC"/>
        <family val="2"/>
      </rPr>
      <t xml:space="preserve">저평가 </t>
    </r>
    <r>
      <rPr>
        <i/>
        <sz val="9"/>
        <color rgb="FF808080"/>
        <rFont val="맑은 고딕"/>
        <family val="3"/>
        <charset val="129"/>
      </rPr>
      <t xml:space="preserve">+ </t>
    </r>
    <r>
      <rPr>
        <i/>
        <sz val="9"/>
        <color rgb="FF808080"/>
        <rFont val="Noto Sans CJK SC"/>
        <family val="2"/>
      </rPr>
      <t>인버스</t>
    </r>
    <r>
      <rPr>
        <i/>
        <sz val="9"/>
        <color rgb="FF808080"/>
        <rFont val="맑은 고딕"/>
        <family val="3"/>
        <charset val="129"/>
      </rPr>
      <t>2X ETF</t>
    </r>
    <r>
      <rPr>
        <i/>
        <sz val="9"/>
        <color rgb="FF808080"/>
        <rFont val="Noto Sans CJK SC"/>
        <family val="2"/>
      </rPr>
      <t xml:space="preserve">가 </t>
    </r>
    <r>
      <rPr>
        <i/>
        <sz val="9"/>
        <color rgb="FF808080"/>
        <rFont val="맑은 고딕"/>
        <family val="3"/>
        <charset val="129"/>
      </rPr>
      <t xml:space="preserve">NAV </t>
    </r>
    <r>
      <rPr>
        <i/>
        <sz val="9"/>
        <color rgb="FF808080"/>
        <rFont val="Noto Sans CJK SC"/>
        <family val="2"/>
      </rPr>
      <t>대비 저평가</t>
    </r>
    <r>
      <rPr>
        <i/>
        <sz val="9"/>
        <color rgb="FF808080"/>
        <rFont val="맑은 고딕"/>
        <family val="3"/>
        <charset val="129"/>
      </rPr>
      <t>(</t>
    </r>
    <r>
      <rPr>
        <i/>
        <sz val="9"/>
        <color rgb="FF808080"/>
        <rFont val="Noto Sans CJK SC"/>
        <family val="2"/>
      </rPr>
      <t xml:space="preserve">괴리 ≤ </t>
    </r>
    <r>
      <rPr>
        <i/>
        <sz val="9"/>
        <color rgb="FF808080"/>
        <rFont val="맑은 고딕"/>
        <family val="3"/>
        <charset val="129"/>
      </rPr>
      <t>0)</t>
    </r>
  </si>
  <si>
    <r>
      <rPr>
        <i/>
        <sz val="9"/>
        <color rgb="FF808080"/>
        <rFont val="맑은 고딕"/>
        <family val="3"/>
        <charset val="129"/>
      </rPr>
      <t xml:space="preserve">· </t>
    </r>
    <r>
      <rPr>
        <i/>
        <sz val="9"/>
        <color rgb="FF808080"/>
        <rFont val="Noto Sans CJK SC"/>
        <family val="2"/>
      </rPr>
      <t>회피</t>
    </r>
    <r>
      <rPr>
        <i/>
        <sz val="9"/>
        <color rgb="FF808080"/>
        <rFont val="맑은 고딕"/>
        <family val="3"/>
        <charset val="129"/>
      </rPr>
      <t xml:space="preserve">: ADR </t>
    </r>
    <r>
      <rPr>
        <i/>
        <sz val="9"/>
        <color rgb="FF808080"/>
        <rFont val="Noto Sans CJK SC"/>
        <family val="2"/>
      </rPr>
      <t xml:space="preserve">고평가인데 레버리지 </t>
    </r>
    <r>
      <rPr>
        <i/>
        <sz val="9"/>
        <color rgb="FF808080"/>
        <rFont val="맑은 고딕"/>
        <family val="3"/>
        <charset val="129"/>
      </rPr>
      <t>ETF</t>
    </r>
    <r>
      <rPr>
        <i/>
        <sz val="9"/>
        <color rgb="FF808080"/>
        <rFont val="Noto Sans CJK SC"/>
        <family val="2"/>
      </rPr>
      <t>도 크게 고평가 — 헤지를 비싸게 사며 엣지 축소</t>
    </r>
  </si>
  <si>
    <r>
      <rPr>
        <b/>
        <sz val="13"/>
        <color rgb="FF1F3864"/>
        <rFont val="Noto Sans CJK SC"/>
        <family val="2"/>
      </rPr>
      <t xml:space="preserve">② 포지션 계산기 </t>
    </r>
    <r>
      <rPr>
        <b/>
        <sz val="13"/>
        <color rgb="FF1F3864"/>
        <rFont val="맑은 고딕"/>
        <family val="3"/>
        <charset val="129"/>
      </rPr>
      <t>(</t>
    </r>
    <r>
      <rPr>
        <b/>
        <sz val="13"/>
        <color rgb="FF1F3864"/>
        <rFont val="Noto Sans CJK SC"/>
        <family val="2"/>
      </rPr>
      <t>베타 조정 델타 중립</t>
    </r>
    <r>
      <rPr>
        <b/>
        <sz val="13"/>
        <color rgb="FF1F3864"/>
        <rFont val="맑은 고딕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</si>
  <si>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 xml:space="preserve">공통 파라미터 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대시보드 연동</t>
    </r>
    <r>
      <rPr>
        <b/>
        <sz val="10"/>
        <color rgb="FFFFFFFF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</si>
  <si>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 xml:space="preserve">명목금액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</si>
  <si>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 xml:space="preserve">프리미엄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현재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</si>
  <si>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달러 환율</t>
    </r>
  </si>
  <si>
    <r>
      <rPr>
        <sz val="10"/>
        <rFont val="Noto Sans CJK SC"/>
        <family val="2"/>
      </rPr>
      <t xml:space="preserve">레버리지 실측베타 </t>
    </r>
    <r>
      <rPr>
        <sz val="10"/>
        <rFont val="맑은 고딕"/>
        <family val="3"/>
        <charset val="129"/>
      </rPr>
      <t>β_L</t>
    </r>
  </si>
  <si>
    <r>
      <rPr>
        <sz val="10"/>
        <rFont val="Noto Sans CJK SC"/>
        <family val="2"/>
      </rPr>
      <t xml:space="preserve">인버스 실측베타 </t>
    </r>
    <r>
      <rPr>
        <sz val="10"/>
        <rFont val="맑은 고딕"/>
        <family val="3"/>
        <charset val="129"/>
      </rPr>
      <t>β_I</t>
    </r>
  </si>
  <si>
    <r>
      <rPr>
        <sz val="10"/>
        <rFont val="Noto Sans CJK SC"/>
        <family val="2"/>
      </rPr>
      <t xml:space="preserve">청산 목표 괴리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절댓값 가정</t>
    </r>
    <r>
      <rPr>
        <sz val="10"/>
        <rFont val="맑은 고딕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</si>
  <si>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 xml:space="preserve">전략① </t>
    </r>
    <r>
      <rPr>
        <b/>
        <sz val="10"/>
        <color rgb="FFFFFFFF"/>
        <rFont val="맑은 고딕"/>
        <family val="3"/>
        <charset val="129"/>
      </rPr>
      <t xml:space="preserve">ADR </t>
    </r>
    <r>
      <rPr>
        <b/>
        <sz val="10"/>
        <color rgb="FFFFFFFF"/>
        <rFont val="Noto Sans CJK SC"/>
        <family val="2"/>
      </rPr>
      <t xml:space="preserve">고평가 → </t>
    </r>
    <r>
      <rPr>
        <b/>
        <sz val="10"/>
        <color rgb="FFFFFFFF"/>
        <rFont val="맑은 고딕"/>
        <family val="3"/>
        <charset val="129"/>
      </rPr>
      <t xml:space="preserve">ADR </t>
    </r>
    <r>
      <rPr>
        <b/>
        <sz val="10"/>
        <color rgb="FFFFFFFF"/>
        <rFont val="Noto Sans CJK SC"/>
        <family val="2"/>
      </rPr>
      <t xml:space="preserve">공매도 </t>
    </r>
    <r>
      <rPr>
        <b/>
        <sz val="10"/>
        <color rgb="FFFFFFFF"/>
        <rFont val="맑은 고딕"/>
        <family val="3"/>
        <charset val="129"/>
      </rPr>
      <t xml:space="preserve">+ </t>
    </r>
    <r>
      <rPr>
        <b/>
        <sz val="10"/>
        <color rgb="FFFFFFFF"/>
        <rFont val="Noto Sans CJK SC"/>
        <family val="2"/>
      </rPr>
      <t xml:space="preserve">레버리지 </t>
    </r>
    <r>
      <rPr>
        <b/>
        <sz val="10"/>
        <color rgb="FFFFFFFF"/>
        <rFont val="맑은 고딕"/>
        <family val="3"/>
        <charset val="129"/>
      </rPr>
      <t xml:space="preserve">ETF </t>
    </r>
    <r>
      <rPr>
        <b/>
        <sz val="10"/>
        <color rgb="FFFFFFFF"/>
        <rFont val="Noto Sans CJK SC"/>
        <family val="2"/>
      </rPr>
      <t xml:space="preserve">매수 </t>
    </r>
    <r>
      <rPr>
        <b/>
        <sz val="10"/>
        <color rgb="FFFFFFFF"/>
        <rFont val="맑은 고딕"/>
        <family val="3"/>
        <charset val="129"/>
      </rPr>
      <t xml:space="preserve">+ </t>
    </r>
    <r>
      <rPr>
        <b/>
        <sz val="10"/>
        <color rgb="FFFFFFFF"/>
        <rFont val="Noto Sans CJK SC"/>
        <family val="2"/>
      </rPr>
      <t>환헤지</t>
    </r>
  </si>
  <si>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 xml:space="preserve">공매도 명목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</si>
  <si>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레버리지 </t>
    </r>
    <r>
      <rPr>
        <sz val="10"/>
        <rFont val="맑은 고딕"/>
        <family val="3"/>
        <charset val="129"/>
      </rPr>
      <t xml:space="preserve">ETF </t>
    </r>
    <r>
      <rPr>
        <sz val="10"/>
        <rFont val="Noto Sans CJK SC"/>
        <family val="2"/>
      </rPr>
      <t xml:space="preserve">매수금액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 xml:space="preserve">) = </t>
    </r>
    <r>
      <rPr>
        <sz val="10"/>
        <rFont val="Noto Sans CJK SC"/>
        <family val="2"/>
      </rPr>
      <t>명목</t>
    </r>
    <r>
      <rPr>
        <sz val="10"/>
        <rFont val="맑은 고딕"/>
        <family val="3"/>
        <charset val="129"/>
      </rPr>
      <t>/β_L</t>
    </r>
  </si>
  <si>
    <r>
      <rPr>
        <sz val="10"/>
        <rFont val="Noto Sans CJK SC"/>
        <family val="2"/>
      </rPr>
      <t xml:space="preserve">레버리지 </t>
    </r>
    <r>
      <rPr>
        <sz val="10"/>
        <rFont val="맑은 고딕"/>
        <family val="3"/>
        <charset val="129"/>
      </rPr>
      <t xml:space="preserve">ETF </t>
    </r>
    <r>
      <rPr>
        <sz val="10"/>
        <rFont val="Noto Sans CJK SC"/>
        <family val="2"/>
      </rPr>
      <t xml:space="preserve">현재가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</si>
  <si>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ETF </t>
    </r>
    <r>
      <rPr>
        <sz val="10"/>
        <rFont val="Noto Sans CJK SC"/>
        <family val="2"/>
      </rPr>
      <t xml:space="preserve">매수 주수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주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</si>
  <si>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환헤지 명목 </t>
    </r>
    <r>
      <rPr>
        <sz val="10"/>
        <rFont val="맑은 고딕"/>
        <family val="3"/>
        <charset val="129"/>
      </rPr>
      <t xml:space="preserve">($) — </t>
    </r>
    <r>
      <rPr>
        <sz val="10"/>
        <rFont val="Noto Sans CJK SC"/>
        <family val="2"/>
      </rPr>
      <t>달러 매도</t>
    </r>
  </si>
  <si>
    <r>
      <rPr>
        <sz val="10"/>
        <rFont val="Noto Sans CJK SC"/>
        <family val="2"/>
      </rPr>
      <t xml:space="preserve">괴리 축소 기대수익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 xml:space="preserve">) = </t>
    </r>
    <r>
      <rPr>
        <sz val="10"/>
        <rFont val="Noto Sans CJK SC"/>
        <family val="2"/>
      </rPr>
      <t>명목</t>
    </r>
    <r>
      <rPr>
        <sz val="10"/>
        <rFont val="맑은 고딕"/>
        <family val="3"/>
        <charset val="129"/>
      </rPr>
      <t>×(</t>
    </r>
    <r>
      <rPr>
        <sz val="10"/>
        <rFont val="Noto Sans CJK SC"/>
        <family val="2"/>
      </rPr>
      <t>진입</t>
    </r>
    <r>
      <rPr>
        <sz val="10"/>
        <rFont val="맑은 고딕"/>
        <family val="3"/>
        <charset val="129"/>
      </rPr>
      <t>P−</t>
    </r>
    <r>
      <rPr>
        <sz val="10"/>
        <rFont val="Noto Sans CJK SC"/>
        <family val="2"/>
      </rPr>
      <t>목표</t>
    </r>
    <r>
      <rPr>
        <sz val="10"/>
        <rFont val="맑은 고딕"/>
        <family val="3"/>
        <charset val="129"/>
      </rPr>
      <t>P)</t>
    </r>
  </si>
  <si>
    <r>
      <rPr>
        <b/>
        <sz val="10"/>
        <color rgb="FFFFFFFF"/>
        <rFont val="Noto Sans CJK SC"/>
        <family val="2"/>
      </rPr>
      <t xml:space="preserve">전략② </t>
    </r>
    <r>
      <rPr>
        <b/>
        <sz val="10"/>
        <color rgb="FFFFFFFF"/>
        <rFont val="맑은 고딕"/>
        <family val="3"/>
        <charset val="129"/>
      </rPr>
      <t xml:space="preserve">ADR </t>
    </r>
    <r>
      <rPr>
        <b/>
        <sz val="10"/>
        <color rgb="FFFFFFFF"/>
        <rFont val="Noto Sans CJK SC"/>
        <family val="2"/>
      </rPr>
      <t xml:space="preserve">저평가 → </t>
    </r>
    <r>
      <rPr>
        <b/>
        <sz val="10"/>
        <color rgb="FFFFFFFF"/>
        <rFont val="맑은 고딕"/>
        <family val="3"/>
        <charset val="129"/>
      </rPr>
      <t xml:space="preserve">ADR </t>
    </r>
    <r>
      <rPr>
        <b/>
        <sz val="10"/>
        <color rgb="FFFFFFFF"/>
        <rFont val="Noto Sans CJK SC"/>
        <family val="2"/>
      </rPr>
      <t xml:space="preserve">매수 </t>
    </r>
    <r>
      <rPr>
        <b/>
        <sz val="10"/>
        <color rgb="FFFFFFFF"/>
        <rFont val="맑은 고딕"/>
        <family val="3"/>
        <charset val="129"/>
      </rPr>
      <t xml:space="preserve">+ </t>
    </r>
    <r>
      <rPr>
        <b/>
        <sz val="10"/>
        <color rgb="FFFFFFFF"/>
        <rFont val="Noto Sans CJK SC"/>
        <family val="2"/>
      </rPr>
      <t>인버스</t>
    </r>
    <r>
      <rPr>
        <b/>
        <sz val="10"/>
        <color rgb="FFFFFFFF"/>
        <rFont val="맑은 고딕"/>
        <family val="3"/>
        <charset val="129"/>
      </rPr>
      <t xml:space="preserve">2X ETF </t>
    </r>
    <r>
      <rPr>
        <b/>
        <sz val="10"/>
        <color rgb="FFFFFFFF"/>
        <rFont val="Noto Sans CJK SC"/>
        <family val="2"/>
      </rPr>
      <t xml:space="preserve">매수 </t>
    </r>
    <r>
      <rPr>
        <b/>
        <sz val="10"/>
        <color rgb="FFFFFFFF"/>
        <rFont val="맑은 고딕"/>
        <family val="3"/>
        <charset val="129"/>
      </rPr>
      <t xml:space="preserve">+ </t>
    </r>
    <r>
      <rPr>
        <b/>
        <sz val="10"/>
        <color rgb="FFFFFFFF"/>
        <rFont val="Noto Sans CJK SC"/>
        <family val="2"/>
      </rPr>
      <t>환헤지</t>
    </r>
  </si>
  <si>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 xml:space="preserve">매수 명목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</si>
  <si>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인버스 </t>
    </r>
    <r>
      <rPr>
        <sz val="10"/>
        <rFont val="맑은 고딕"/>
        <family val="3"/>
        <charset val="129"/>
      </rPr>
      <t xml:space="preserve">ETF </t>
    </r>
    <r>
      <rPr>
        <sz val="10"/>
        <rFont val="Noto Sans CJK SC"/>
        <family val="2"/>
      </rPr>
      <t xml:space="preserve">매수금액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 xml:space="preserve">) = </t>
    </r>
    <r>
      <rPr>
        <sz val="10"/>
        <rFont val="Noto Sans CJK SC"/>
        <family val="2"/>
      </rPr>
      <t>명목</t>
    </r>
    <r>
      <rPr>
        <sz val="10"/>
        <rFont val="맑은 고딕"/>
        <family val="3"/>
        <charset val="129"/>
      </rPr>
      <t>/|β_I|</t>
    </r>
  </si>
  <si>
    <r>
      <rPr>
        <sz val="10"/>
        <rFont val="Noto Sans CJK SC"/>
        <family val="2"/>
      </rPr>
      <t xml:space="preserve">인버스 </t>
    </r>
    <r>
      <rPr>
        <sz val="10"/>
        <rFont val="맑은 고딕"/>
        <family val="3"/>
        <charset val="129"/>
      </rPr>
      <t xml:space="preserve">ETF </t>
    </r>
    <r>
      <rPr>
        <sz val="10"/>
        <rFont val="Noto Sans CJK SC"/>
        <family val="2"/>
      </rPr>
      <t xml:space="preserve">현재가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</si>
  <si>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환헤지 명목 </t>
    </r>
    <r>
      <rPr>
        <sz val="10"/>
        <rFont val="맑은 고딕"/>
        <family val="3"/>
        <charset val="129"/>
      </rPr>
      <t xml:space="preserve">($) — </t>
    </r>
    <r>
      <rPr>
        <sz val="10"/>
        <rFont val="Noto Sans CJK SC"/>
        <family val="2"/>
      </rPr>
      <t>달러 매수 예약</t>
    </r>
  </si>
  <si>
    <r>
      <rPr>
        <sz val="10"/>
        <rFont val="Noto Sans CJK SC"/>
        <family val="2"/>
      </rPr>
      <t xml:space="preserve">괴리 축소 기대수익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 xml:space="preserve">) = </t>
    </r>
    <r>
      <rPr>
        <sz val="10"/>
        <rFont val="Noto Sans CJK SC"/>
        <family val="2"/>
      </rPr>
      <t>명목</t>
    </r>
    <r>
      <rPr>
        <sz val="10"/>
        <rFont val="맑은 고딕"/>
        <family val="3"/>
        <charset val="129"/>
      </rPr>
      <t>×(−</t>
    </r>
    <r>
      <rPr>
        <sz val="10"/>
        <rFont val="Noto Sans CJK SC"/>
        <family val="2"/>
      </rPr>
      <t>목표</t>
    </r>
    <r>
      <rPr>
        <sz val="10"/>
        <rFont val="맑은 고딕"/>
        <family val="3"/>
        <charset val="129"/>
      </rPr>
      <t>P−</t>
    </r>
    <r>
      <rPr>
        <sz val="10"/>
        <rFont val="Noto Sans CJK SC"/>
        <family val="2"/>
      </rPr>
      <t>진입</t>
    </r>
    <r>
      <rPr>
        <sz val="10"/>
        <rFont val="맑은 고딕"/>
        <family val="3"/>
        <charset val="129"/>
      </rPr>
      <t>P)</t>
    </r>
  </si>
  <si>
    <r>
      <rPr>
        <i/>
        <sz val="9"/>
        <color rgb="FF808080"/>
        <rFont val="맑은 고딕"/>
        <family val="3"/>
        <charset val="129"/>
      </rPr>
      <t xml:space="preserve">※ ETF </t>
    </r>
    <r>
      <rPr>
        <i/>
        <sz val="9"/>
        <color rgb="FF808080"/>
        <rFont val="Noto Sans CJK SC"/>
        <family val="2"/>
      </rPr>
      <t xml:space="preserve">투자금은 </t>
    </r>
    <r>
      <rPr>
        <i/>
        <sz val="9"/>
        <color rgb="FF808080"/>
        <rFont val="맑은 고딕"/>
        <family val="3"/>
        <charset val="129"/>
      </rPr>
      <t xml:space="preserve">50% </t>
    </r>
    <r>
      <rPr>
        <i/>
        <sz val="9"/>
        <color rgb="FF808080"/>
        <rFont val="Noto Sans CJK SC"/>
        <family val="2"/>
      </rPr>
      <t xml:space="preserve">고정이 아니라 실측 베타로 나눠 결정 </t>
    </r>
    <r>
      <rPr>
        <i/>
        <sz val="9"/>
        <color rgb="FF808080"/>
        <rFont val="맑은 고딕"/>
        <family val="3"/>
        <charset val="129"/>
      </rPr>
      <t>(</t>
    </r>
    <r>
      <rPr>
        <i/>
        <sz val="9"/>
        <color rgb="FF808080"/>
        <rFont val="Noto Sans CJK SC"/>
        <family val="2"/>
      </rPr>
      <t>예</t>
    </r>
    <r>
      <rPr>
        <i/>
        <sz val="9"/>
        <color rgb="FF808080"/>
        <rFont val="맑은 고딕"/>
        <family val="3"/>
        <charset val="129"/>
      </rPr>
      <t>: 1</t>
    </r>
    <r>
      <rPr>
        <i/>
        <sz val="9"/>
        <color rgb="FF808080"/>
        <rFont val="Noto Sans CJK SC"/>
        <family val="2"/>
      </rPr>
      <t>억</t>
    </r>
    <r>
      <rPr>
        <i/>
        <sz val="9"/>
        <color rgb="FF808080"/>
        <rFont val="맑은 고딕"/>
        <family val="3"/>
        <charset val="129"/>
      </rPr>
      <t>/1.88 = 5,319</t>
    </r>
    <r>
      <rPr>
        <i/>
        <sz val="9"/>
        <color rgb="FF808080"/>
        <rFont val="Noto Sans CJK SC"/>
        <family val="2"/>
      </rPr>
      <t>만원</t>
    </r>
    <r>
      <rPr>
        <i/>
        <sz val="9"/>
        <color rgb="FF808080"/>
        <rFont val="맑은 고딕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</si>
  <si>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 xml:space="preserve">시나리오 </t>
    </r>
    <r>
      <rPr>
        <b/>
        <sz val="10"/>
        <color rgb="FFFFFFFF"/>
        <rFont val="맑은 고딕"/>
        <family val="3"/>
        <charset val="129"/>
      </rPr>
      <t xml:space="preserve">P&amp;L — </t>
    </r>
    <r>
      <rPr>
        <b/>
        <sz val="10"/>
        <color rgb="FFFFFFFF"/>
        <rFont val="Noto Sans CJK SC"/>
        <family val="2"/>
      </rPr>
      <t xml:space="preserve">전략① 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본주 수익률별</t>
    </r>
    <r>
      <rPr>
        <b/>
        <sz val="10"/>
        <color rgb="FFFFFFFF"/>
        <rFont val="맑은 고딕"/>
        <family val="3"/>
        <charset val="129"/>
      </rPr>
      <t>)</t>
    </r>
  </si>
  <si>
    <t>본주 수익률</t>
  </si>
  <si>
    <r>
      <rPr>
        <b/>
        <sz val="10"/>
        <rFont val="맑은 고딕"/>
        <family val="3"/>
        <charset val="129"/>
      </rPr>
      <t>ADR</t>
    </r>
    <r>
      <rPr>
        <b/>
        <sz val="10"/>
        <rFont val="Noto Sans CJK SC"/>
        <family val="2"/>
      </rPr>
      <t xml:space="preserve">측 손익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원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</si>
  <si>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>ETF</t>
    </r>
    <r>
      <rPr>
        <b/>
        <sz val="10"/>
        <rFont val="Noto Sans CJK SC"/>
        <family val="2"/>
      </rPr>
      <t xml:space="preserve">측 손익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원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</si>
  <si>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 xml:space="preserve">방향성 순손익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원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</si>
  <si>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 xml:space="preserve">괴리축소 손익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원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</si>
  <si>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Noto Sans CJK SC"/>
        <family val="2"/>
      </rPr>
      <t xml:space="preserve">총손익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원</t>
    </r>
    <r>
      <rPr>
        <b/>
        <sz val="10"/>
        <rFont val="맑은 고딕"/>
        <family val="3"/>
        <charset val="129"/>
      </rPr>
      <t>)</t>
    </r>
  </si>
  <si>
    <r>
      <rPr>
        <b/>
        <sz val="10"/>
        <color rgb="FFFFFFFF"/>
        <rFont val="Noto Sans CJK SC"/>
        <family val="2"/>
      </rPr>
      <t xml:space="preserve">시나리오 </t>
    </r>
    <r>
      <rPr>
        <b/>
        <sz val="10"/>
        <color rgb="FFFFFFFF"/>
        <rFont val="맑은 고딕"/>
        <family val="3"/>
        <charset val="129"/>
      </rPr>
      <t xml:space="preserve">P&amp;L — </t>
    </r>
    <r>
      <rPr>
        <b/>
        <sz val="10"/>
        <color rgb="FFFFFFFF"/>
        <rFont val="Noto Sans CJK SC"/>
        <family val="2"/>
      </rPr>
      <t xml:space="preserve">전략② 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본주 수익률별</t>
    </r>
    <r>
      <rPr>
        <b/>
        <sz val="10"/>
        <color rgb="FFFFFFFF"/>
        <rFont val="맑은 고딕"/>
        <family val="3"/>
        <charset val="129"/>
      </rPr>
      <t>)</t>
    </r>
  </si>
  <si>
    <r>
      <rPr>
        <i/>
        <sz val="9"/>
        <color rgb="FF808080"/>
        <rFont val="Noto Sans CJK SC"/>
        <family val="2"/>
      </rPr>
      <t xml:space="preserve">※ 베타 조정이 정확하면 방향성 순손익 ≈ </t>
    </r>
    <r>
      <rPr>
        <i/>
        <sz val="9"/>
        <color rgb="FF808080"/>
        <rFont val="맑은 고딕"/>
        <family val="3"/>
        <charset val="129"/>
      </rPr>
      <t xml:space="preserve">0, </t>
    </r>
    <r>
      <rPr>
        <i/>
        <sz val="9"/>
        <color rgb="FF808080"/>
        <rFont val="Noto Sans CJK SC"/>
        <family val="2"/>
      </rPr>
      <t>수익원은 괴리 축소분</t>
    </r>
    <r>
      <rPr>
        <i/>
        <sz val="9"/>
        <color rgb="FF808080"/>
        <rFont val="맑은 고딕"/>
        <family val="3"/>
        <charset val="129"/>
      </rPr>
      <t xml:space="preserve">. </t>
    </r>
    <r>
      <rPr>
        <i/>
        <sz val="9"/>
        <color rgb="FF808080"/>
        <rFont val="Noto Sans CJK SC"/>
        <family val="2"/>
      </rPr>
      <t>괴리축소 손익은 청산 목표 괴리 도달 가정치</t>
    </r>
    <r>
      <rPr>
        <i/>
        <sz val="9"/>
        <color rgb="FF808080"/>
        <rFont val="맑은 고딕"/>
        <family val="3"/>
        <charset val="129"/>
      </rPr>
      <t>.</t>
    </r>
  </si>
  <si>
    <r>
      <rPr>
        <b/>
        <sz val="13"/>
        <color rgb="FF1F3864"/>
        <rFont val="Noto Sans CJK SC"/>
        <family val="2"/>
      </rPr>
      <t xml:space="preserve">③ 야간 </t>
    </r>
    <r>
      <rPr>
        <b/>
        <sz val="13"/>
        <color rgb="FF1F3864"/>
        <rFont val="맑은 고딕"/>
        <family val="3"/>
        <charset val="129"/>
      </rPr>
      <t xml:space="preserve">ADR → </t>
    </r>
    <r>
      <rPr>
        <b/>
        <sz val="13"/>
        <color rgb="FF1F3864"/>
        <rFont val="Noto Sans CJK SC"/>
        <family val="2"/>
      </rPr>
      <t>개장가</t>
    </r>
    <r>
      <rPr>
        <b/>
        <sz val="13"/>
        <color rgb="FF1F3864"/>
        <rFont val="맑은 고딕"/>
        <family val="3"/>
        <charset val="129"/>
      </rPr>
      <t xml:space="preserve">·NAV </t>
    </r>
    <r>
      <rPr>
        <b/>
        <sz val="13"/>
        <color rgb="FF1F3864"/>
        <rFont val="Noto Sans CJK SC"/>
        <family val="2"/>
      </rPr>
      <t>예측</t>
    </r>
  </si>
  <si>
    <r>
      <rPr>
        <b/>
        <sz val="10"/>
        <color rgb="FFFFFFFF"/>
        <rFont val="Noto Sans CJK SC"/>
        <family val="2"/>
      </rPr>
      <t xml:space="preserve">입력 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미국장 마감 후</t>
    </r>
    <r>
      <rPr>
        <b/>
        <sz val="10"/>
        <color rgb="FFFFFFFF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</si>
  <si>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전일 본주 종가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</si>
  <si>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야간 </t>
    </r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 xml:space="preserve">종가 </t>
    </r>
    <r>
      <rPr>
        <sz val="10"/>
        <rFont val="맑은 고딕"/>
        <family val="3"/>
        <charset val="129"/>
      </rPr>
      <t>($)</t>
    </r>
  </si>
  <si>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>전환비율</t>
    </r>
  </si>
  <si>
    <r>
      <rPr>
        <sz val="10"/>
        <rFont val="Noto Sans CJK SC"/>
        <family val="2"/>
      </rPr>
      <t xml:space="preserve">전일 레버리지 </t>
    </r>
    <r>
      <rPr>
        <sz val="10"/>
        <rFont val="맑은 고딕"/>
        <family val="3"/>
        <charset val="129"/>
      </rPr>
      <t>ETF NAV 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</si>
  <si>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전일 인버스 </t>
    </r>
    <r>
      <rPr>
        <sz val="10"/>
        <rFont val="맑은 고딕"/>
        <family val="3"/>
        <charset val="129"/>
      </rPr>
      <t>ETF NAV 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</si>
  <si>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예상 선물 수익률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인버스용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</si>
  <si>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시초가 괴리 판정 기준 </t>
    </r>
    <r>
      <rPr>
        <sz val="10"/>
        <rFont val="맑은 고딕"/>
        <family val="3"/>
        <charset val="129"/>
      </rPr>
      <t>(±)</t>
    </r>
  </si>
  <si>
    <t>계산</t>
  </si>
  <si>
    <r>
      <rPr>
        <sz val="10"/>
        <rFont val="Noto Sans CJK SC"/>
        <family val="2"/>
      </rPr>
      <t xml:space="preserve">예상 본주 시초가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 xml:space="preserve">) = </t>
    </r>
    <r>
      <rPr>
        <sz val="10"/>
        <rFont val="Noto Sans CJK SC"/>
        <family val="2"/>
      </rPr>
      <t>비율</t>
    </r>
    <r>
      <rPr>
        <sz val="10"/>
        <rFont val="맑은 고딕"/>
        <family val="3"/>
        <charset val="129"/>
      </rPr>
      <t>×ADR×</t>
    </r>
    <r>
      <rPr>
        <sz val="10"/>
        <rFont val="Noto Sans CJK SC"/>
        <family val="2"/>
      </rPr>
      <t>환율</t>
    </r>
  </si>
  <si>
    <r>
      <rPr>
        <sz val="10"/>
        <rFont val="Noto Sans CJK SC"/>
        <family val="2"/>
      </rPr>
      <t xml:space="preserve">예상 본주 수익률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예상시초가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 xml:space="preserve">전일종가 − </t>
    </r>
    <r>
      <rPr>
        <sz val="10"/>
        <rFont val="맑은 고딕"/>
        <family val="3"/>
        <charset val="129"/>
      </rPr>
      <t>1</t>
    </r>
  </si>
  <si>
    <r>
      <rPr>
        <sz val="10"/>
        <rFont val="Noto Sans CJK SC"/>
        <family val="2"/>
      </rPr>
      <t xml:space="preserve">예상 레버리지 </t>
    </r>
    <r>
      <rPr>
        <sz val="10"/>
        <rFont val="맑은 고딕"/>
        <family val="3"/>
        <charset val="129"/>
      </rPr>
      <t>ETF NAV = NAV×(1+2r)</t>
    </r>
  </si>
  <si>
    <r>
      <rPr>
        <sz val="10"/>
        <rFont val="Noto Sans CJK SC"/>
        <family val="2"/>
      </rPr>
      <t xml:space="preserve">예상 인버스 </t>
    </r>
    <r>
      <rPr>
        <sz val="10"/>
        <rFont val="맑은 고딕"/>
        <family val="3"/>
        <charset val="129"/>
      </rPr>
      <t>ETF NAV = NAV×(1−2r_</t>
    </r>
    <r>
      <rPr>
        <sz val="10"/>
        <rFont val="Noto Sans CJK SC"/>
        <family val="2"/>
      </rPr>
      <t>선물</t>
    </r>
    <r>
      <rPr>
        <sz val="10"/>
        <rFont val="맑은 고딕"/>
        <family val="3"/>
        <charset val="129"/>
      </rPr>
      <t>)</t>
    </r>
  </si>
  <si>
    <t>개장 후 판정</t>
  </si>
  <si>
    <r>
      <rPr>
        <sz val="10"/>
        <rFont val="Noto Sans CJK SC"/>
        <family val="2"/>
      </rPr>
      <t xml:space="preserve">실제 레버리지 시초가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</si>
  <si>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실제 인버스 시초가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원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</si>
  <si>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레버리지 시초가 괴리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실제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예상</t>
    </r>
    <r>
      <rPr>
        <sz val="10"/>
        <rFont val="맑은 고딕"/>
        <family val="3"/>
        <charset val="129"/>
      </rPr>
      <t>NAV − 1</t>
    </r>
  </si>
  <si>
    <r>
      <rPr>
        <sz val="10"/>
        <rFont val="Noto Sans CJK SC"/>
        <family val="2"/>
      </rPr>
      <t xml:space="preserve">인버스 시초가 괴리 </t>
    </r>
    <r>
      <rPr>
        <sz val="10"/>
        <rFont val="맑은 고딕"/>
        <family val="3"/>
        <charset val="129"/>
      </rPr>
      <t xml:space="preserve">= </t>
    </r>
    <r>
      <rPr>
        <sz val="10"/>
        <rFont val="Noto Sans CJK SC"/>
        <family val="2"/>
      </rPr>
      <t>실제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예상</t>
    </r>
    <r>
      <rPr>
        <sz val="10"/>
        <rFont val="맑은 고딕"/>
        <family val="3"/>
        <charset val="129"/>
      </rPr>
      <t>NAV − 1</t>
    </r>
  </si>
  <si>
    <t>레버리지 판정</t>
  </si>
  <si>
    <t>인버스 판정</t>
  </si>
  <si>
    <r>
      <rPr>
        <i/>
        <sz val="9"/>
        <color rgb="FF808080"/>
        <rFont val="Noto Sans CJK SC"/>
        <family val="2"/>
      </rPr>
      <t>※ 미국 마감</t>
    </r>
    <r>
      <rPr>
        <i/>
        <sz val="9"/>
        <color rgb="FF808080"/>
        <rFont val="맑은 고딕"/>
        <family val="3"/>
        <charset val="129"/>
      </rPr>
      <t>~</t>
    </r>
    <r>
      <rPr>
        <i/>
        <sz val="9"/>
        <color rgb="FF808080"/>
        <rFont val="Noto Sans CJK SC"/>
        <family val="2"/>
      </rPr>
      <t>한국 개장 사이 새 뉴스 발생 가능 → 엄밀한 차익거래가 아닌 개장가 예측</t>
    </r>
    <r>
      <rPr>
        <i/>
        <sz val="9"/>
        <color rgb="FF808080"/>
        <rFont val="맑은 고딕"/>
        <family val="3"/>
        <charset val="129"/>
      </rPr>
      <t>·</t>
    </r>
    <r>
      <rPr>
        <i/>
        <sz val="9"/>
        <color rgb="FF808080"/>
        <rFont val="Noto Sans CJK SC"/>
        <family val="2"/>
      </rPr>
      <t>괴리 회귀 전략</t>
    </r>
    <r>
      <rPr>
        <i/>
        <sz val="9"/>
        <color rgb="FF808080"/>
        <rFont val="맑은 고딕"/>
        <family val="3"/>
        <charset val="129"/>
      </rPr>
      <t>.</t>
    </r>
  </si>
  <si>
    <r>
      <rPr>
        <i/>
        <sz val="9"/>
        <color rgb="FF808080"/>
        <rFont val="Noto Sans CJK SC"/>
        <family val="2"/>
      </rPr>
      <t>※ 인버스</t>
    </r>
    <r>
      <rPr>
        <i/>
        <sz val="9"/>
        <color rgb="FF808080"/>
        <rFont val="맑은 고딕"/>
        <family val="3"/>
        <charset val="129"/>
      </rPr>
      <t>2X</t>
    </r>
    <r>
      <rPr>
        <i/>
        <sz val="9"/>
        <color rgb="FF808080"/>
        <rFont val="Noto Sans CJK SC"/>
        <family val="2"/>
      </rPr>
      <t xml:space="preserve">는 </t>
    </r>
    <r>
      <rPr>
        <i/>
        <sz val="9"/>
        <color rgb="FF808080"/>
        <rFont val="맑은 고딕"/>
        <family val="3"/>
        <charset val="129"/>
      </rPr>
      <t>SK</t>
    </r>
    <r>
      <rPr>
        <i/>
        <sz val="9"/>
        <color rgb="FF808080"/>
        <rFont val="Noto Sans CJK SC"/>
        <family val="2"/>
      </rPr>
      <t xml:space="preserve">하이닉스 선물지수 추종 </t>
    </r>
    <r>
      <rPr>
        <i/>
        <sz val="9"/>
        <color rgb="FF808080"/>
        <rFont val="맑은 고딕"/>
        <family val="3"/>
        <charset val="129"/>
      </rPr>
      <t xml:space="preserve">(Source: </t>
    </r>
    <r>
      <rPr>
        <i/>
        <sz val="9"/>
        <color rgb="FF808080"/>
        <rFont val="Noto Sans CJK SC"/>
        <family val="2"/>
      </rPr>
      <t>삼성증권 리서치</t>
    </r>
    <r>
      <rPr>
        <i/>
        <sz val="9"/>
        <color rgb="FF808080"/>
        <rFont val="맑은 고딕"/>
        <family val="3"/>
        <charset val="129"/>
      </rPr>
      <t>, 2026-05).</t>
    </r>
  </si>
  <si>
    <r>
      <rPr>
        <b/>
        <sz val="13"/>
        <color rgb="FF1F3864"/>
        <rFont val="Noto Sans CJK SC"/>
        <family val="2"/>
      </rPr>
      <t>④ 진입</t>
    </r>
    <r>
      <rPr>
        <b/>
        <sz val="13"/>
        <color rgb="FF1F3864"/>
        <rFont val="맑은 고딕"/>
        <family val="3"/>
        <charset val="129"/>
      </rPr>
      <t>·</t>
    </r>
    <r>
      <rPr>
        <b/>
        <sz val="13"/>
        <color rgb="FF1F3864"/>
        <rFont val="Noto Sans CJK SC"/>
        <family val="2"/>
      </rPr>
      <t>청산 규칙</t>
    </r>
  </si>
  <si>
    <r>
      <rPr>
        <sz val="10"/>
        <rFont val="Noto Sans CJK SC"/>
        <family val="2"/>
      </rPr>
      <t xml:space="preserve">현재 진입기준 </t>
    </r>
    <r>
      <rPr>
        <sz val="10"/>
        <rFont val="맑은 고딕"/>
        <family val="3"/>
        <charset val="129"/>
      </rPr>
      <t xml:space="preserve">= MAX(2.5σ, </t>
    </r>
    <r>
      <rPr>
        <sz val="10"/>
        <rFont val="Noto Sans CJK SC"/>
        <family val="2"/>
      </rPr>
      <t>총비용</t>
    </r>
    <r>
      <rPr>
        <sz val="10"/>
        <rFont val="맑은 고딕"/>
        <family val="3"/>
        <charset val="129"/>
      </rPr>
      <t>+</t>
    </r>
    <r>
      <rPr>
        <sz val="10"/>
        <rFont val="Noto Sans CJK SC"/>
        <family val="2"/>
      </rPr>
      <t>안전마진</t>
    </r>
    <r>
      <rPr>
        <sz val="10"/>
        <rFont val="맑은 고딕"/>
        <family val="3"/>
        <charset val="129"/>
      </rPr>
      <t>)</t>
    </r>
  </si>
  <si>
    <r>
      <rPr>
        <i/>
        <sz val="9"/>
        <color rgb="FF808080"/>
        <rFont val="Noto Sans CJK SC"/>
        <family val="2"/>
      </rPr>
      <t xml:space="preserve">※ 신규 상장 직후 데이터 부족 → 초기에는 </t>
    </r>
    <r>
      <rPr>
        <i/>
        <sz val="9"/>
        <color rgb="FF808080"/>
        <rFont val="맑은 고딕"/>
        <family val="3"/>
        <charset val="129"/>
      </rPr>
      <t xml:space="preserve">ADR </t>
    </r>
    <r>
      <rPr>
        <i/>
        <sz val="9"/>
        <color rgb="FF808080"/>
        <rFont val="Noto Sans CJK SC"/>
        <family val="2"/>
      </rPr>
      <t xml:space="preserve">환산 괴리 </t>
    </r>
    <r>
      <rPr>
        <i/>
        <sz val="9"/>
        <color rgb="FF808080"/>
        <rFont val="맑은 고딕"/>
        <family val="3"/>
        <charset val="129"/>
      </rPr>
      <t xml:space="preserve">4~5% </t>
    </r>
    <r>
      <rPr>
        <i/>
        <sz val="9"/>
        <color rgb="FF808080"/>
        <rFont val="Noto Sans CJK SC"/>
        <family val="2"/>
      </rPr>
      <t>이상에서만 보수적으로 진입 권장</t>
    </r>
    <r>
      <rPr>
        <i/>
        <sz val="9"/>
        <color rgb="FF808080"/>
        <rFont val="맑은 고딕"/>
        <family val="3"/>
        <charset val="129"/>
      </rPr>
      <t>.</t>
    </r>
  </si>
  <si>
    <t>진입 체크리스트</t>
  </si>
  <si>
    <t>항목</t>
  </si>
  <si>
    <t>기준</t>
  </si>
  <si>
    <r>
      <rPr>
        <b/>
        <sz val="10"/>
        <rFont val="Noto Sans CJK SC"/>
        <family val="2"/>
      </rPr>
      <t>현재값</t>
    </r>
    <r>
      <rPr>
        <b/>
        <sz val="10"/>
        <rFont val="맑은 고딕"/>
        <family val="3"/>
        <charset val="129"/>
      </rPr>
      <t>/</t>
    </r>
    <r>
      <rPr>
        <b/>
        <sz val="10"/>
        <rFont val="Noto Sans CJK SC"/>
        <family val="2"/>
      </rPr>
      <t>입력</t>
    </r>
  </si>
  <si>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 xml:space="preserve">환산 괴리율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절댓값</t>
    </r>
    <r>
      <rPr>
        <sz val="10"/>
        <rFont val="맑은 고딕"/>
        <family val="3"/>
        <charset val="129"/>
      </rPr>
      <t>)</t>
    </r>
  </si>
  <si>
    <t>≥ 진입기준</t>
  </si>
  <si>
    <r>
      <rPr>
        <sz val="10"/>
        <rFont val="Noto Sans CJK SC"/>
        <family val="2"/>
      </rPr>
      <t xml:space="preserve">유효 엣지 </t>
    </r>
    <r>
      <rPr>
        <sz val="10"/>
        <rFont val="맑은 고딕"/>
        <family val="3"/>
        <charset val="129"/>
      </rPr>
      <t xml:space="preserve">(ETF </t>
    </r>
    <r>
      <rPr>
        <sz val="10"/>
        <rFont val="Noto Sans CJK SC"/>
        <family val="2"/>
      </rPr>
      <t>괴리 반영 순괴리</t>
    </r>
    <r>
      <rPr>
        <sz val="10"/>
        <rFont val="맑은 고딕"/>
        <family val="3"/>
        <charset val="129"/>
      </rPr>
      <t>)</t>
    </r>
  </si>
  <si>
    <t>≥ 3%</t>
  </si>
  <si>
    <r>
      <rPr>
        <sz val="10"/>
        <rFont val="Noto Sans CJK SC"/>
        <family val="2"/>
      </rPr>
      <t xml:space="preserve">예상 순이익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엣지 − 총비용</t>
    </r>
    <r>
      <rPr>
        <sz val="10"/>
        <rFont val="맑은 고딕"/>
        <family val="3"/>
        <charset val="129"/>
      </rPr>
      <t>)</t>
    </r>
  </si>
  <si>
    <r>
      <rPr>
        <sz val="10"/>
        <rFont val="Noto Sans CJK SC"/>
        <family val="2"/>
      </rPr>
      <t xml:space="preserve">≥ 총비용 </t>
    </r>
    <r>
      <rPr>
        <sz val="10"/>
        <rFont val="맑은 고딕"/>
        <family val="3"/>
        <charset val="129"/>
      </rPr>
      <t>× 2</t>
    </r>
  </si>
  <si>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 xml:space="preserve">대차 가능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전략① 필수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</si>
  <si>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Y / N </t>
    </r>
    <r>
      <rPr>
        <sz val="10"/>
        <rFont val="Noto Sans CJK SC"/>
        <family val="2"/>
      </rPr>
      <t>입력</t>
    </r>
  </si>
  <si>
    <t>Y</t>
  </si>
  <si>
    <r>
      <rPr>
        <sz val="10"/>
        <rFont val="맑은 고딕"/>
        <family val="3"/>
        <charset val="129"/>
      </rPr>
      <t xml:space="preserve">ETF </t>
    </r>
    <r>
      <rPr>
        <sz val="10"/>
        <rFont val="Noto Sans CJK SC"/>
        <family val="2"/>
      </rPr>
      <t>호가 스프레드 정상</t>
    </r>
  </si>
  <si>
    <t>환헤지 체결 준비 완료</t>
  </si>
  <si>
    <t>종합 판정</t>
  </si>
  <si>
    <r>
      <rPr>
        <sz val="10"/>
        <rFont val="맑은 고딕"/>
        <family val="3"/>
        <charset val="129"/>
      </rPr>
      <t>6</t>
    </r>
    <r>
      <rPr>
        <sz val="10"/>
        <rFont val="Noto Sans CJK SC"/>
        <family val="2"/>
      </rPr>
      <t>개 항목 전부 충족 시 진입</t>
    </r>
  </si>
  <si>
    <r>
      <rPr>
        <b/>
        <sz val="10"/>
        <color rgb="FFFFFFFF"/>
        <rFont val="Noto Sans CJK SC"/>
        <family val="2"/>
      </rPr>
      <t xml:space="preserve">청산 기준 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하나라도 해당 시 청산</t>
    </r>
    <r>
      <rPr>
        <b/>
        <sz val="10"/>
        <color rgb="FFFFFFFF"/>
        <rFont val="맑은 고딕"/>
        <family val="3"/>
        <charset val="129"/>
      </rPr>
      <t>)</t>
    </r>
  </si>
  <si>
    <t>현재값</t>
  </si>
  <si>
    <r>
      <rPr>
        <sz val="10"/>
        <rFont val="맑은 고딕"/>
        <family val="3"/>
        <charset val="129"/>
      </rPr>
      <t>ADR–</t>
    </r>
    <r>
      <rPr>
        <sz val="10"/>
        <rFont val="Noto Sans CJK SC"/>
        <family val="2"/>
      </rPr>
      <t>본주 괴리 축소</t>
    </r>
  </si>
  <si>
    <r>
      <rPr>
        <sz val="10"/>
        <rFont val="Noto Sans CJK SC"/>
        <family val="2"/>
      </rPr>
      <t xml:space="preserve">절댓값 ≤ </t>
    </r>
    <r>
      <rPr>
        <sz val="10"/>
        <rFont val="맑은 고딕"/>
        <family val="3"/>
        <charset val="129"/>
      </rPr>
      <t>1%</t>
    </r>
  </si>
  <si>
    <r>
      <rPr>
        <sz val="10"/>
        <rFont val="Noto Sans CJK SC"/>
        <family val="2"/>
      </rPr>
      <t xml:space="preserve">표준화 괴리 </t>
    </r>
    <r>
      <rPr>
        <sz val="10"/>
        <rFont val="맑은 고딕"/>
        <family val="3"/>
        <charset val="129"/>
      </rPr>
      <t>|Z|</t>
    </r>
  </si>
  <si>
    <t>≤ 0.5</t>
  </si>
  <si>
    <t>최대 보유기간</t>
  </si>
  <si>
    <r>
      <rPr>
        <sz val="10"/>
        <rFont val="맑은 고딕"/>
        <family val="3"/>
        <charset val="129"/>
      </rPr>
      <t>1~3</t>
    </r>
    <r>
      <rPr>
        <sz val="10"/>
        <rFont val="Noto Sans CJK SC"/>
        <family val="2"/>
      </rPr>
      <t>거래일</t>
    </r>
  </si>
  <si>
    <t>수동 관리</t>
  </si>
  <si>
    <t>—</t>
  </si>
  <si>
    <t>실측 베타 이탈</t>
  </si>
  <si>
    <t>목표 대비 큰 이탈 시</t>
  </si>
  <si>
    <r>
      <rPr>
        <sz val="10"/>
        <rFont val="Noto Sans CJK SC"/>
        <family val="2"/>
      </rPr>
      <t xml:space="preserve">대차료 급등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>주식 반환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리콜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>요청</t>
    </r>
  </si>
  <si>
    <t>발생 즉시</t>
  </si>
  <si>
    <r>
      <rPr>
        <b/>
        <sz val="13"/>
        <color rgb="FF1F3864"/>
        <rFont val="Noto Sans CJK SC"/>
        <family val="2"/>
      </rPr>
      <t xml:space="preserve">⑤ 국내 헤지 </t>
    </r>
    <r>
      <rPr>
        <b/>
        <sz val="13"/>
        <color rgb="FF1F3864"/>
        <rFont val="맑은 고딕"/>
        <family val="3"/>
        <charset val="129"/>
      </rPr>
      <t xml:space="preserve">ETF </t>
    </r>
    <r>
      <rPr>
        <b/>
        <sz val="13"/>
        <color rgb="FF1F3864"/>
        <rFont val="Noto Sans CJK SC"/>
        <family val="2"/>
      </rPr>
      <t>후보</t>
    </r>
  </si>
  <si>
    <r>
      <rPr>
        <b/>
        <sz val="10"/>
        <rFont val="Noto Sans CJK SC"/>
        <family val="2"/>
      </rPr>
      <t xml:space="preserve">상품 </t>
    </r>
    <r>
      <rPr>
        <b/>
        <sz val="10"/>
        <rFont val="맑은 고딕"/>
        <family val="3"/>
        <charset val="129"/>
      </rPr>
      <t>(</t>
    </r>
    <r>
      <rPr>
        <b/>
        <sz val="10"/>
        <rFont val="Noto Sans CJK SC"/>
        <family val="2"/>
      </rPr>
      <t>브랜드</t>
    </r>
    <r>
      <rPr>
        <b/>
        <sz val="10"/>
        <rFont val="맑은 고딕"/>
        <family val="3"/>
        <charset val="129"/>
      </rPr>
      <t>)</t>
    </r>
  </si>
  <si>
    <t>운용사</t>
  </si>
  <si>
    <t>유형</t>
  </si>
  <si>
    <t>구조</t>
  </si>
  <si>
    <t>종목코드</t>
  </si>
  <si>
    <t>평균 거래대금</t>
  </si>
  <si>
    <t>호가 스프레드</t>
  </si>
  <si>
    <r>
      <rPr>
        <b/>
        <sz val="10"/>
        <rFont val="Noto Sans CJK SC"/>
        <family val="2"/>
      </rPr>
      <t xml:space="preserve">실측 </t>
    </r>
    <r>
      <rPr>
        <b/>
        <sz val="10"/>
        <rFont val="맑은 고딕"/>
        <family val="3"/>
        <charset val="129"/>
      </rPr>
      <t>β</t>
    </r>
  </si>
  <si>
    <r>
      <rPr>
        <sz val="10"/>
        <rFont val="맑은 고딕"/>
        <family val="3"/>
        <charset val="129"/>
      </rPr>
      <t>KODEX SK</t>
    </r>
    <r>
      <rPr>
        <sz val="10"/>
        <rFont val="Noto Sans CJK SC"/>
        <family val="2"/>
      </rPr>
      <t>하이닉스 레버리지</t>
    </r>
  </si>
  <si>
    <t>삼성자산운용</t>
  </si>
  <si>
    <r>
      <rPr>
        <sz val="10"/>
        <rFont val="Noto Sans CJK SC"/>
        <family val="2"/>
      </rPr>
      <t xml:space="preserve">레버리지 </t>
    </r>
    <r>
      <rPr>
        <sz val="10"/>
        <rFont val="맑은 고딕"/>
        <family val="3"/>
        <charset val="129"/>
      </rPr>
      <t>(2X)</t>
    </r>
  </si>
  <si>
    <r>
      <rPr>
        <sz val="10"/>
        <rFont val="Noto Sans CJK SC"/>
        <family val="2"/>
      </rPr>
      <t>현물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선물 혼합 또는 선물 </t>
    </r>
    <r>
      <rPr>
        <sz val="10"/>
        <rFont val="맑은 고딕"/>
        <family val="3"/>
        <charset val="129"/>
      </rPr>
      <t>(</t>
    </r>
    <r>
      <rPr>
        <sz val="10"/>
        <rFont val="Noto Sans CJK SC"/>
        <family val="2"/>
      </rPr>
      <t>확인 필요</t>
    </r>
    <r>
      <rPr>
        <sz val="10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</si>
  <si>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>TIGER SK</t>
    </r>
    <r>
      <rPr>
        <sz val="10"/>
        <rFont val="Noto Sans CJK SC"/>
        <family val="2"/>
      </rPr>
      <t>하이닉스 레버리지</t>
    </r>
  </si>
  <si>
    <t>미래에셋자산운용</t>
  </si>
  <si>
    <r>
      <rPr>
        <sz val="10"/>
        <rFont val="맑은 고딕"/>
        <family val="3"/>
        <charset val="129"/>
      </rPr>
      <t>ACE SK</t>
    </r>
    <r>
      <rPr>
        <sz val="10"/>
        <rFont val="Noto Sans CJK SC"/>
        <family val="2"/>
      </rPr>
      <t>하이닉스 레버리지</t>
    </r>
  </si>
  <si>
    <t>한국투자신탁운용</t>
  </si>
  <si>
    <r>
      <rPr>
        <sz val="10"/>
        <rFont val="맑은 고딕"/>
        <family val="3"/>
        <charset val="129"/>
      </rPr>
      <t>RISE SK</t>
    </r>
    <r>
      <rPr>
        <sz val="10"/>
        <rFont val="Noto Sans CJK SC"/>
        <family val="2"/>
      </rPr>
      <t>하이닉스 레버리지</t>
    </r>
  </si>
  <si>
    <r>
      <rPr>
        <sz val="10"/>
        <rFont val="맑은 고딕"/>
        <family val="3"/>
        <charset val="129"/>
      </rPr>
      <t>KB</t>
    </r>
    <r>
      <rPr>
        <sz val="10"/>
        <rFont val="Noto Sans CJK SC"/>
        <family val="2"/>
      </rPr>
      <t>자산운용</t>
    </r>
  </si>
  <si>
    <r>
      <rPr>
        <sz val="10"/>
        <rFont val="맑은 고딕"/>
        <family val="3"/>
        <charset val="129"/>
      </rPr>
      <t>SOL SK</t>
    </r>
    <r>
      <rPr>
        <sz val="10"/>
        <rFont val="Noto Sans CJK SC"/>
        <family val="2"/>
      </rPr>
      <t>하이닉스 레버리지</t>
    </r>
  </si>
  <si>
    <t>신한자산운용</t>
  </si>
  <si>
    <r>
      <rPr>
        <sz val="10"/>
        <rFont val="맑은 고딕"/>
        <family val="3"/>
        <charset val="129"/>
      </rPr>
      <t>1Q SK</t>
    </r>
    <r>
      <rPr>
        <sz val="10"/>
        <rFont val="Noto Sans CJK SC"/>
        <family val="2"/>
      </rPr>
      <t>하이닉스 레버리지</t>
    </r>
  </si>
  <si>
    <t>하나자산운용</t>
  </si>
  <si>
    <r>
      <rPr>
        <sz val="10"/>
        <rFont val="맑은 고딕"/>
        <family val="3"/>
        <charset val="129"/>
      </rPr>
      <t>KIWOOM SK</t>
    </r>
    <r>
      <rPr>
        <sz val="10"/>
        <rFont val="Noto Sans CJK SC"/>
        <family val="2"/>
      </rPr>
      <t>하이닉스 레버리지</t>
    </r>
  </si>
  <si>
    <t>키움투자자산운용</t>
  </si>
  <si>
    <r>
      <rPr>
        <sz val="10"/>
        <rFont val="맑은 고딕"/>
        <family val="3"/>
        <charset val="129"/>
      </rPr>
      <t>SOL SK</t>
    </r>
    <r>
      <rPr>
        <sz val="10"/>
        <rFont val="Noto Sans CJK SC"/>
        <family val="2"/>
      </rPr>
      <t>하이닉스선물단일종목인버스</t>
    </r>
    <r>
      <rPr>
        <sz val="10"/>
        <rFont val="맑은 고딕"/>
        <family val="3"/>
        <charset val="129"/>
      </rPr>
      <t>2X</t>
    </r>
  </si>
  <si>
    <r>
      <rPr>
        <sz val="10"/>
        <rFont val="Noto Sans CJK SC"/>
        <family val="2"/>
      </rPr>
      <t xml:space="preserve">인버스 </t>
    </r>
    <r>
      <rPr>
        <sz val="10"/>
        <rFont val="맑은 고딕"/>
        <family val="3"/>
        <charset val="129"/>
      </rPr>
      <t>(-2X)</t>
    </r>
  </si>
  <si>
    <r>
      <rPr>
        <sz val="10"/>
        <rFont val="맑은 고딕"/>
        <family val="3"/>
        <charset val="129"/>
      </rPr>
      <t>SK</t>
    </r>
    <r>
      <rPr>
        <sz val="10"/>
        <rFont val="Noto Sans CJK SC"/>
        <family val="2"/>
      </rPr>
      <t>하이닉스 선물지수 추종</t>
    </r>
  </si>
  <si>
    <r>
      <rPr>
        <i/>
        <sz val="9"/>
        <color rgb="FF808080"/>
        <rFont val="맑은 고딕"/>
        <family val="3"/>
        <charset val="129"/>
      </rPr>
      <t xml:space="preserve">Source: </t>
    </r>
    <r>
      <rPr>
        <i/>
        <sz val="9"/>
        <color rgb="FF808080"/>
        <rFont val="Noto Sans CJK SC"/>
        <family val="2"/>
      </rPr>
      <t xml:space="preserve">삼성증권 리서치 </t>
    </r>
    <r>
      <rPr>
        <i/>
        <sz val="9"/>
        <color rgb="FF808080"/>
        <rFont val="맑은 고딕"/>
        <family val="3"/>
        <charset val="129"/>
      </rPr>
      <t xml:space="preserve">(2026-05) — </t>
    </r>
    <r>
      <rPr>
        <i/>
        <sz val="9"/>
        <color rgb="FF808080"/>
        <rFont val="Noto Sans CJK SC"/>
        <family val="2"/>
      </rPr>
      <t xml:space="preserve">상장 신청 기준 레버리지 </t>
    </r>
    <r>
      <rPr>
        <i/>
        <sz val="9"/>
        <color rgb="FF808080"/>
        <rFont val="맑은 고딕"/>
        <family val="3"/>
        <charset val="129"/>
      </rPr>
      <t>7</t>
    </r>
    <r>
      <rPr>
        <i/>
        <sz val="9"/>
        <color rgb="FF808080"/>
        <rFont val="Noto Sans CJK SC"/>
        <family val="2"/>
      </rPr>
      <t xml:space="preserve">종 </t>
    </r>
    <r>
      <rPr>
        <i/>
        <sz val="9"/>
        <color rgb="FF808080"/>
        <rFont val="맑은 고딕"/>
        <family val="3"/>
        <charset val="129"/>
      </rPr>
      <t xml:space="preserve">+ SOL </t>
    </r>
    <r>
      <rPr>
        <i/>
        <sz val="9"/>
        <color rgb="FF808080"/>
        <rFont val="Noto Sans CJK SC"/>
        <family val="2"/>
      </rPr>
      <t>인버스</t>
    </r>
    <r>
      <rPr>
        <i/>
        <sz val="9"/>
        <color rgb="FF808080"/>
        <rFont val="맑은 고딕"/>
        <family val="3"/>
        <charset val="129"/>
      </rPr>
      <t>2X.</t>
    </r>
  </si>
  <si>
    <r>
      <rPr>
        <i/>
        <sz val="9"/>
        <color rgb="FF808080"/>
        <rFont val="맑은 고딕"/>
        <family val="3"/>
        <charset val="129"/>
      </rPr>
      <t xml:space="preserve">Source: KRX KIND (2026-06-22) — KODEX·TIGER </t>
    </r>
    <r>
      <rPr>
        <i/>
        <sz val="9"/>
        <color rgb="FF808080"/>
        <rFont val="Noto Sans CJK SC"/>
        <family val="2"/>
      </rPr>
      <t>레버리지</t>
    </r>
    <r>
      <rPr>
        <i/>
        <sz val="9"/>
        <color rgb="FF808080"/>
        <rFont val="맑은 고딕"/>
        <family val="3"/>
        <charset val="129"/>
      </rPr>
      <t xml:space="preserve">, SOL </t>
    </r>
    <r>
      <rPr>
        <i/>
        <sz val="9"/>
        <color rgb="FF808080"/>
        <rFont val="Noto Sans CJK SC"/>
        <family val="2"/>
      </rPr>
      <t>인버스</t>
    </r>
    <r>
      <rPr>
        <i/>
        <sz val="9"/>
        <color rgb="FF808080"/>
        <rFont val="맑은 고딕"/>
        <family val="3"/>
        <charset val="129"/>
      </rPr>
      <t xml:space="preserve">2X </t>
    </r>
    <r>
      <rPr>
        <i/>
        <sz val="9"/>
        <color rgb="FF808080"/>
        <rFont val="Noto Sans CJK SC"/>
        <family val="2"/>
      </rPr>
      <t>거래량 상대적 우위</t>
    </r>
    <r>
      <rPr>
        <i/>
        <sz val="9"/>
        <color rgb="FF808080"/>
        <rFont val="맑은 고딕"/>
        <family val="3"/>
        <charset val="129"/>
      </rPr>
      <t xml:space="preserve">. </t>
    </r>
    <r>
      <rPr>
        <i/>
        <sz val="9"/>
        <color rgb="FF808080"/>
        <rFont val="Noto Sans CJK SC"/>
        <family val="2"/>
      </rPr>
      <t>유동성은 매일 변동 → 실시간 호가</t>
    </r>
    <r>
      <rPr>
        <i/>
        <sz val="9"/>
        <color rgb="FF808080"/>
        <rFont val="맑은 고딕"/>
        <family val="3"/>
        <charset val="129"/>
      </rPr>
      <t xml:space="preserve">·iNAV </t>
    </r>
    <r>
      <rPr>
        <i/>
        <sz val="9"/>
        <color rgb="FF808080"/>
        <rFont val="Noto Sans CJK SC"/>
        <family val="2"/>
      </rPr>
      <t>기준 선택</t>
    </r>
    <r>
      <rPr>
        <i/>
        <sz val="9"/>
        <color rgb="FF808080"/>
        <rFont val="맑은 고딕"/>
        <family val="3"/>
        <charset val="129"/>
      </rPr>
      <t>.</t>
    </r>
  </si>
  <si>
    <r>
      <rPr>
        <i/>
        <sz val="9"/>
        <color rgb="FF808080"/>
        <rFont val="Noto Sans CJK SC"/>
        <family val="2"/>
      </rPr>
      <t xml:space="preserve">노란 칸은 거래 시점에 조회하여 입력 </t>
    </r>
    <r>
      <rPr>
        <i/>
        <sz val="9"/>
        <color rgb="FF808080"/>
        <rFont val="맑은 고딕"/>
        <family val="3"/>
        <charset val="129"/>
      </rPr>
      <t>(</t>
    </r>
    <r>
      <rPr>
        <i/>
        <sz val="9"/>
        <color rgb="FF808080"/>
        <rFont val="Noto Sans CJK SC"/>
        <family val="2"/>
      </rPr>
      <t>종목코드</t>
    </r>
    <r>
      <rPr>
        <i/>
        <sz val="9"/>
        <color rgb="FF808080"/>
        <rFont val="맑은 고딕"/>
        <family val="3"/>
        <charset val="129"/>
      </rPr>
      <t>·</t>
    </r>
    <r>
      <rPr>
        <i/>
        <sz val="9"/>
        <color rgb="FF808080"/>
        <rFont val="Noto Sans CJK SC"/>
        <family val="2"/>
      </rPr>
      <t>거래대금</t>
    </r>
    <r>
      <rPr>
        <i/>
        <sz val="9"/>
        <color rgb="FF808080"/>
        <rFont val="맑은 고딕"/>
        <family val="3"/>
        <charset val="129"/>
      </rPr>
      <t>·</t>
    </r>
    <r>
      <rPr>
        <i/>
        <sz val="9"/>
        <color rgb="FF808080"/>
        <rFont val="Noto Sans CJK SC"/>
        <family val="2"/>
      </rPr>
      <t>스프레드</t>
    </r>
    <r>
      <rPr>
        <i/>
        <sz val="9"/>
        <color rgb="FF808080"/>
        <rFont val="맑은 고딕"/>
        <family val="3"/>
        <charset val="129"/>
      </rPr>
      <t>·</t>
    </r>
    <r>
      <rPr>
        <i/>
        <sz val="9"/>
        <color rgb="FF808080"/>
        <rFont val="Noto Sans CJK SC"/>
        <family val="2"/>
      </rPr>
      <t>실측 베타</t>
    </r>
    <r>
      <rPr>
        <i/>
        <sz val="9"/>
        <color rgb="FF808080"/>
        <rFont val="맑은 고딕"/>
        <family val="3"/>
        <charset val="129"/>
      </rPr>
      <t>).</t>
    </r>
  </si>
  <si>
    <r>
      <rPr>
        <b/>
        <sz val="10"/>
        <color rgb="FFFFFFFF"/>
        <rFont val="Noto Sans CJK SC"/>
        <family val="2"/>
      </rPr>
      <t xml:space="preserve">선정 기준 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Noto Sans CJK SC"/>
        <family val="2"/>
      </rPr>
      <t>우선순위</t>
    </r>
    <r>
      <rPr>
        <b/>
        <sz val="10"/>
        <color rgb="FFFFFFFF"/>
        <rFont val="맑은 고딕"/>
        <family val="3"/>
        <charset val="129"/>
      </rPr>
      <t>)</t>
    </r>
  </si>
  <si>
    <r>
      <rPr>
        <sz val="10"/>
        <rFont val="맑은 고딕"/>
        <family val="3"/>
        <charset val="129"/>
      </rPr>
      <t xml:space="preserve">1. </t>
    </r>
    <r>
      <rPr>
        <sz val="10"/>
        <rFont val="Noto Sans CJK SC"/>
        <family val="2"/>
      </rPr>
      <t>매수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매도 호가 스프레드</t>
    </r>
  </si>
  <si>
    <r>
      <rPr>
        <sz val="10"/>
        <rFont val="맑은 고딕"/>
        <family val="3"/>
        <charset val="129"/>
      </rPr>
      <t xml:space="preserve">2. </t>
    </r>
    <r>
      <rPr>
        <sz val="10"/>
        <rFont val="Noto Sans CJK SC"/>
        <family val="2"/>
      </rPr>
      <t>호가 잔량</t>
    </r>
  </si>
  <si>
    <r>
      <rPr>
        <sz val="10"/>
        <rFont val="맑은 고딕"/>
        <family val="3"/>
        <charset val="129"/>
      </rPr>
      <t xml:space="preserve">3. </t>
    </r>
    <r>
      <rPr>
        <sz val="10"/>
        <rFont val="Noto Sans CJK SC"/>
        <family val="2"/>
      </rPr>
      <t>시장가격–</t>
    </r>
    <r>
      <rPr>
        <sz val="10"/>
        <rFont val="맑은 고딕"/>
        <family val="3"/>
        <charset val="129"/>
      </rPr>
      <t xml:space="preserve">iNAV </t>
    </r>
    <r>
      <rPr>
        <sz val="10"/>
        <rFont val="Noto Sans CJK SC"/>
        <family val="2"/>
      </rPr>
      <t>괴리</t>
    </r>
  </si>
  <si>
    <r>
      <rPr>
        <sz val="10"/>
        <rFont val="맑은 고딕"/>
        <family val="3"/>
        <charset val="129"/>
      </rPr>
      <t xml:space="preserve">4. </t>
    </r>
    <r>
      <rPr>
        <sz val="10"/>
        <rFont val="Noto Sans CJK SC"/>
        <family val="2"/>
      </rPr>
      <t>실제 추종 베타</t>
    </r>
  </si>
  <si>
    <r>
      <rPr>
        <sz val="10"/>
        <rFont val="맑은 고딕"/>
        <family val="3"/>
        <charset val="129"/>
      </rPr>
      <t xml:space="preserve">5. </t>
    </r>
    <r>
      <rPr>
        <sz val="10"/>
        <rFont val="Noto Sans CJK SC"/>
        <family val="2"/>
      </rPr>
      <t>거래대금</t>
    </r>
  </si>
  <si>
    <r>
      <rPr>
        <sz val="10"/>
        <rFont val="맑은 고딕"/>
        <family val="3"/>
        <charset val="129"/>
      </rPr>
      <t xml:space="preserve">6. </t>
    </r>
    <r>
      <rPr>
        <sz val="10"/>
        <rFont val="Noto Sans CJK SC"/>
        <family val="2"/>
      </rPr>
      <t xml:space="preserve">선물형 </t>
    </r>
    <r>
      <rPr>
        <sz val="10"/>
        <rFont val="맑은 고딕"/>
        <family val="3"/>
        <charset val="129"/>
      </rPr>
      <t xml:space="preserve">vs </t>
    </r>
    <r>
      <rPr>
        <sz val="10"/>
        <rFont val="Noto Sans CJK SC"/>
        <family val="2"/>
      </rPr>
      <t>현물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선물 혼합형</t>
    </r>
  </si>
  <si>
    <r>
      <rPr>
        <i/>
        <sz val="9"/>
        <color rgb="FF808080"/>
        <rFont val="Noto Sans CJK SC"/>
        <family val="2"/>
      </rPr>
      <t>※ 단기 차익거래에서는 보수</t>
    </r>
    <r>
      <rPr>
        <i/>
        <sz val="9"/>
        <color rgb="FF808080"/>
        <rFont val="맑은 고딕"/>
        <family val="3"/>
        <charset val="129"/>
      </rPr>
      <t>(</t>
    </r>
    <r>
      <rPr>
        <i/>
        <sz val="9"/>
        <color rgb="FF808080"/>
        <rFont val="Noto Sans CJK SC"/>
        <family val="2"/>
      </rPr>
      <t>수수료율</t>
    </r>
    <r>
      <rPr>
        <i/>
        <sz val="9"/>
        <color rgb="FF808080"/>
        <rFont val="맑은 고딕"/>
        <family val="3"/>
        <charset val="129"/>
      </rPr>
      <t xml:space="preserve">) </t>
    </r>
    <r>
      <rPr>
        <i/>
        <sz val="9"/>
        <color rgb="FF808080"/>
        <rFont val="Noto Sans CJK SC"/>
        <family val="2"/>
      </rPr>
      <t>차이보다 체결 슬리피지</t>
    </r>
    <r>
      <rPr>
        <i/>
        <sz val="9"/>
        <color rgb="FF808080"/>
        <rFont val="맑은 고딕"/>
        <family val="3"/>
        <charset val="129"/>
      </rPr>
      <t>·</t>
    </r>
    <r>
      <rPr>
        <i/>
        <sz val="9"/>
        <color rgb="FF808080"/>
        <rFont val="Noto Sans CJK SC"/>
        <family val="2"/>
      </rPr>
      <t>추적오차가 더 중요</t>
    </r>
    <r>
      <rPr>
        <i/>
        <sz val="9"/>
        <color rgb="FF808080"/>
        <rFont val="맑은 고딕"/>
        <family val="3"/>
        <charset val="129"/>
      </rPr>
      <t>.</t>
    </r>
  </si>
  <si>
    <r>
      <rPr>
        <b/>
        <sz val="13"/>
        <color rgb="FF1F3864"/>
        <rFont val="맑은 고딕"/>
        <family val="3"/>
        <charset val="129"/>
      </rPr>
      <t>⑥ 5</t>
    </r>
    <r>
      <rPr>
        <b/>
        <sz val="13"/>
        <color rgb="FF1F3864"/>
        <rFont val="Noto Sans CJK SC"/>
        <family val="2"/>
      </rPr>
      <t>대 리스크와 대응</t>
    </r>
  </si>
  <si>
    <t>내용</t>
  </si>
  <si>
    <t>영향</t>
  </si>
  <si>
    <t>대응</t>
  </si>
  <si>
    <t>① 거래시간 불일치</t>
  </si>
  <si>
    <r>
      <rPr>
        <sz val="10"/>
        <rFont val="Noto Sans CJK SC"/>
        <family val="2"/>
      </rPr>
      <t xml:space="preserve">한국 </t>
    </r>
    <r>
      <rPr>
        <sz val="10"/>
        <rFont val="맑은 고딕"/>
        <family val="3"/>
        <charset val="129"/>
      </rPr>
      <t>ETF</t>
    </r>
    <r>
      <rPr>
        <sz val="10"/>
        <rFont val="Noto Sans CJK SC"/>
        <family val="2"/>
      </rPr>
      <t xml:space="preserve">와 미국 </t>
    </r>
    <r>
      <rPr>
        <sz val="10"/>
        <rFont val="맑은 고딕"/>
        <family val="3"/>
        <charset val="129"/>
      </rPr>
      <t xml:space="preserve">ADR </t>
    </r>
    <r>
      <rPr>
        <sz val="10"/>
        <rFont val="Noto Sans CJK SC"/>
        <family val="2"/>
      </rPr>
      <t>정규장이 겹치지 않음</t>
    </r>
  </si>
  <si>
    <t>한쪽 먼저 체결 후 다른 시장 개장까지 가격위험 부담</t>
  </si>
  <si>
    <r>
      <rPr>
        <sz val="10"/>
        <rFont val="Noto Sans CJK SC"/>
        <family val="2"/>
      </rPr>
      <t>포지션 축소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야간 파생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프리마켓 참고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부분 분할 체결</t>
    </r>
  </si>
  <si>
    <t>② 일일 재설정</t>
  </si>
  <si>
    <r>
      <rPr>
        <sz val="10"/>
        <rFont val="Noto Sans CJK SC"/>
        <family val="2"/>
      </rPr>
      <t>레버리지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인버스</t>
    </r>
    <r>
      <rPr>
        <sz val="10"/>
        <rFont val="맑은 고딕"/>
        <family val="3"/>
        <charset val="129"/>
      </rPr>
      <t>2X</t>
    </r>
    <r>
      <rPr>
        <sz val="10"/>
        <rFont val="Noto Sans CJK SC"/>
        <family val="2"/>
      </rPr>
      <t xml:space="preserve">는 누적이 아닌 매일 수익률의 </t>
    </r>
    <r>
      <rPr>
        <sz val="10"/>
        <rFont val="맑은 고딕"/>
        <family val="3"/>
        <charset val="129"/>
      </rPr>
      <t>±2</t>
    </r>
    <r>
      <rPr>
        <sz val="10"/>
        <rFont val="Noto Sans CJK SC"/>
        <family val="2"/>
      </rPr>
      <t>배 추종</t>
    </r>
  </si>
  <si>
    <r>
      <rPr>
        <sz val="10"/>
        <rFont val="Noto Sans CJK SC"/>
        <family val="2"/>
      </rPr>
      <t>다일 보유 시 변동성 손실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복리효과로 헤지비율 이탈</t>
    </r>
  </si>
  <si>
    <r>
      <rPr>
        <sz val="10"/>
        <rFont val="Noto Sans CJK SC"/>
        <family val="2"/>
      </rPr>
      <t xml:space="preserve">보유 </t>
    </r>
    <r>
      <rPr>
        <sz val="10"/>
        <rFont val="맑은 고딕"/>
        <family val="3"/>
        <charset val="129"/>
      </rPr>
      <t>1~3</t>
    </r>
    <r>
      <rPr>
        <sz val="10"/>
        <rFont val="Noto Sans CJK SC"/>
        <family val="2"/>
      </rPr>
      <t>거래일 제한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일일 헤지비율 점검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리밸런싱</t>
    </r>
  </si>
  <si>
    <t>③ 현물–선물 차이</t>
  </si>
  <si>
    <r>
      <rPr>
        <sz val="10"/>
        <rFont val="맑은 고딕"/>
        <family val="3"/>
        <charset val="129"/>
      </rPr>
      <t xml:space="preserve">SOL </t>
    </r>
    <r>
      <rPr>
        <sz val="10"/>
        <rFont val="Noto Sans CJK SC"/>
        <family val="2"/>
      </rPr>
      <t>인버스</t>
    </r>
    <r>
      <rPr>
        <sz val="10"/>
        <rFont val="맑은 고딕"/>
        <family val="3"/>
        <charset val="129"/>
      </rPr>
      <t>2X</t>
    </r>
    <r>
      <rPr>
        <sz val="10"/>
        <rFont val="Noto Sans CJK SC"/>
        <family val="2"/>
      </rPr>
      <t>는 선물지수 추종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>베이시스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만기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롤오버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가격제한</t>
    </r>
  </si>
  <si>
    <t>현물 기준 예측과 추적 오차 발생</t>
  </si>
  <si>
    <r>
      <rPr>
        <sz val="10"/>
        <rFont val="Noto Sans CJK SC"/>
        <family val="2"/>
      </rPr>
      <t>베이시스 모니터링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선물 만기 주간 진입 회피</t>
    </r>
  </si>
  <si>
    <t>④ 환율</t>
  </si>
  <si>
    <r>
      <rPr>
        <sz val="10"/>
        <rFont val="맑은 고딕"/>
        <family val="3"/>
        <charset val="129"/>
      </rPr>
      <t>ADR</t>
    </r>
    <r>
      <rPr>
        <sz val="10"/>
        <rFont val="Noto Sans CJK SC"/>
        <family val="2"/>
      </rPr>
      <t>는 달러</t>
    </r>
    <r>
      <rPr>
        <sz val="10"/>
        <rFont val="맑은 고딕"/>
        <family val="3"/>
        <charset val="129"/>
      </rPr>
      <t>, ETF</t>
    </r>
    <r>
      <rPr>
        <sz val="10"/>
        <rFont val="Noto Sans CJK SC"/>
        <family val="2"/>
      </rPr>
      <t>는 원화 표시</t>
    </r>
  </si>
  <si>
    <t>프리미엄 축소돼도 환율 급변으로 손실 가능</t>
  </si>
  <si>
    <r>
      <rPr>
        <sz val="10"/>
        <rFont val="Noto Sans CJK SC"/>
        <family val="2"/>
      </rPr>
      <t>선물환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달러선물 등으로 환헤지 필수</t>
    </r>
  </si>
  <si>
    <t>⑤ 괴리 장기화</t>
  </si>
  <si>
    <r>
      <rPr>
        <sz val="10"/>
        <rFont val="맑은 고딕"/>
        <family val="3"/>
        <charset val="129"/>
      </rPr>
      <t>ADR–</t>
    </r>
    <r>
      <rPr>
        <sz val="10"/>
        <rFont val="Noto Sans CJK SC"/>
        <family val="2"/>
      </rPr>
      <t>본주 전환이 신청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심사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 xml:space="preserve">승인 방식일 가능성 </t>
    </r>
    <r>
      <rPr>
        <sz val="10"/>
        <rFont val="맑은 고딕"/>
        <family val="3"/>
        <charset val="129"/>
      </rPr>
      <t xml:space="preserve">(Source: </t>
    </r>
    <r>
      <rPr>
        <sz val="10"/>
        <rFont val="Noto Sans CJK SC"/>
        <family val="2"/>
      </rPr>
      <t xml:space="preserve">인베스트조선 </t>
    </r>
    <r>
      <rPr>
        <sz val="10"/>
        <rFont val="맑은 고딕"/>
        <family val="3"/>
        <charset val="129"/>
      </rPr>
      <t>2026-07-08)</t>
    </r>
  </si>
  <si>
    <r>
      <rPr>
        <sz val="10"/>
        <rFont val="Noto Sans CJK SC"/>
        <family val="2"/>
      </rPr>
      <t>프리미엄</t>
    </r>
    <r>
      <rPr>
        <sz val="10"/>
        <rFont val="맑은 고딕"/>
        <family val="3"/>
        <charset val="129"/>
      </rPr>
      <t>/</t>
    </r>
    <r>
      <rPr>
        <sz val="10"/>
        <rFont val="Noto Sans CJK SC"/>
        <family val="2"/>
      </rPr>
      <t>할인율이 예상보다 오래 유지</t>
    </r>
  </si>
  <si>
    <r>
      <rPr>
        <sz val="10"/>
        <rFont val="Noto Sans CJK SC"/>
        <family val="2"/>
      </rPr>
      <t>손절 기준</t>
    </r>
    <r>
      <rPr>
        <sz val="10"/>
        <rFont val="맑은 고딕"/>
        <family val="3"/>
        <charset val="129"/>
      </rPr>
      <t>·</t>
    </r>
    <r>
      <rPr>
        <sz val="10"/>
        <rFont val="Noto Sans CJK SC"/>
        <family val="2"/>
      </rPr>
      <t>보유기간 상한 설정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>포지션 규모 제한</t>
    </r>
  </si>
  <si>
    <r>
      <rPr>
        <b/>
        <sz val="10"/>
        <rFont val="맑은 고딕"/>
        <family val="3"/>
        <charset val="129"/>
      </rPr>
      <t xml:space="preserve">ADR </t>
    </r>
    <r>
      <rPr>
        <b/>
        <sz val="10"/>
        <rFont val="Noto Sans CJK SC"/>
        <family val="2"/>
      </rPr>
      <t>수익률 분해</t>
    </r>
    <r>
      <rPr>
        <b/>
        <sz val="10"/>
        <rFont val="맑은 고딕"/>
        <family val="3"/>
        <charset val="129"/>
      </rPr>
      <t>:  ADR</t>
    </r>
    <r>
      <rPr>
        <b/>
        <sz val="10"/>
        <rFont val="Noto Sans CJK SC"/>
        <family val="2"/>
      </rPr>
      <t xml:space="preserve">수익률 ≈ 본주 주가수익률 </t>
    </r>
    <r>
      <rPr>
        <b/>
        <sz val="10"/>
        <rFont val="맑은 고딕"/>
        <family val="3"/>
        <charset val="129"/>
      </rPr>
      <t xml:space="preserve">+ </t>
    </r>
    <r>
      <rPr>
        <b/>
        <sz val="10"/>
        <rFont val="Noto Sans CJK SC"/>
        <family val="2"/>
      </rPr>
      <t xml:space="preserve">환율수익률 </t>
    </r>
    <r>
      <rPr>
        <b/>
        <sz val="10"/>
        <rFont val="맑은 고딕"/>
        <family val="3"/>
        <charset val="129"/>
      </rPr>
      <t xml:space="preserve">+ ADR </t>
    </r>
    <r>
      <rPr>
        <b/>
        <sz val="10"/>
        <rFont val="Noto Sans CJK SC"/>
        <family val="2"/>
      </rPr>
      <t>프리미엄 변화</t>
    </r>
  </si>
  <si>
    <r>
      <rPr>
        <i/>
        <sz val="9"/>
        <color rgb="FF808080"/>
        <rFont val="Noto Sans CJK SC"/>
        <family val="2"/>
      </rPr>
      <t>※ 본 모델은 정보 제공용이며 투자 권유가 아닙니다</t>
    </r>
    <r>
      <rPr>
        <i/>
        <sz val="9"/>
        <color rgb="FF808080"/>
        <rFont val="맑은 고딕"/>
        <family val="3"/>
        <charset val="129"/>
      </rPr>
      <t xml:space="preserve">. </t>
    </r>
    <r>
      <rPr>
        <i/>
        <sz val="9"/>
        <color rgb="FF808080"/>
        <rFont val="Noto Sans CJK SC"/>
        <family val="2"/>
      </rPr>
      <t>공매도</t>
    </r>
    <r>
      <rPr>
        <i/>
        <sz val="9"/>
        <color rgb="FF808080"/>
        <rFont val="맑은 고딕"/>
        <family val="3"/>
        <charset val="129"/>
      </rPr>
      <t>·</t>
    </r>
    <r>
      <rPr>
        <i/>
        <sz val="9"/>
        <color rgb="FF808080"/>
        <rFont val="Noto Sans CJK SC"/>
        <family val="2"/>
      </rPr>
      <t>대차</t>
    </r>
    <r>
      <rPr>
        <i/>
        <sz val="9"/>
        <color rgb="FF808080"/>
        <rFont val="맑은 고딕"/>
        <family val="3"/>
        <charset val="129"/>
      </rPr>
      <t>·</t>
    </r>
    <r>
      <rPr>
        <i/>
        <sz val="9"/>
        <color rgb="FF808080"/>
        <rFont val="Noto Sans CJK SC"/>
        <family val="2"/>
      </rPr>
      <t>환헤지 관련 규제와 비용은 거래 전 필수 확인</t>
    </r>
    <r>
      <rPr>
        <i/>
        <sz val="9"/>
        <color rgb="FF808080"/>
        <rFont val="맑은 고딕"/>
        <family val="3"/>
        <charset val="129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</si>
</sst>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"/>
    <numFmt numFmtId="177" formatCode="\$#,##0"/>
    <numFmt numFmtId="178" formatCode="#,##0;\(#,##0\);\-"/>
    <numFmt numFmtId="179" formatCode="0.0%"/>
  </numFmts>
  <fonts count="17">
    <font>
      <sz val="11"/>
      <color theme="1"/>
      <name val="Calibri"/>
      <family val="2"/>
      <charset val="1"/>
    </font>
    <font>
      <b/>
      <sz val="13"/>
      <color rgb="FF1F3864"/>
      <name val="맑은 고딕"/>
      <family val="3"/>
      <charset val="129"/>
    </font>
    <font>
      <b/>
      <sz val="13"/>
      <color rgb="FF1F3864"/>
      <name val="Noto Sans CJK SC"/>
      <family val="2"/>
    </font>
    <font>
      <i/>
      <sz val="9"/>
      <color rgb="FF808080"/>
      <name val="Noto Sans CJK SC"/>
      <family val="2"/>
    </font>
    <font>
      <i/>
      <sz val="9"/>
      <color rgb="FF808080"/>
      <name val="맑은 고딕"/>
      <family val="3"/>
      <charset val="129"/>
    </font>
    <font>
      <b/>
      <sz val="10"/>
      <color rgb="FFFFFFFF"/>
      <name val="Noto Sans CJK SC"/>
      <family val="2"/>
    </font>
    <font>
      <b/>
      <sz val="10"/>
      <name val="맑은 고딕"/>
      <family val="3"/>
      <charset val="129"/>
    </font>
    <font>
      <b/>
      <sz val="10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10"/>
      <color rgb="FF0000FF"/>
      <name val="Noto Sans CJK SC"/>
      <family val="2"/>
    </font>
    <font>
      <sz val="10"/>
      <color rgb="FF0000FF"/>
      <name val="맑은 고딕"/>
      <family val="3"/>
      <charset val="129"/>
    </font>
    <font>
      <sz val="10"/>
      <color rgb="FF008000"/>
      <name val="Noto Sans CJK SC"/>
      <family val="2"/>
    </font>
    <font>
      <sz val="10"/>
      <color rgb="FF008000"/>
      <name val="맑은 고딕"/>
      <family val="3"/>
      <charset val="129"/>
    </font>
    <font>
      <sz val="10"/>
      <name val="Arial"/>
      <family val="2"/>
    </font>
    <font>
      <b/>
      <sz val="10"/>
      <color rgb="FFFFFFFF"/>
      <name val="맑은 고딕"/>
      <family val="3"/>
      <charset val="129"/>
    </font>
    <font>
      <sz val="8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31465F"/>
        <bgColor rgb="FF1F3864"/>
      </patternFill>
    </fill>
    <fill>
      <patternFill patternType="solid">
        <fgColor rgb="FFD9D9D9"/>
        <bgColor rgb="FFC6EFCE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7" fillId="0" borderId="0" xfId="0" applyFont="1" applyAlignment="1">
      <alignment vertical="center" wrapText="1"/>
    </xf>
    <xf numFmtId="0" fontId="5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9" fillId="4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2" fontId="11" fillId="0" borderId="0" xfId="0" applyNumberFormat="1" applyFont="1" applyAlignment="1">
      <alignment vertical="center"/>
    </xf>
    <xf numFmtId="176" fontId="11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1" fontId="11" fillId="0" borderId="0" xfId="0" applyNumberFormat="1" applyFont="1" applyAlignment="1">
      <alignment vertical="center"/>
    </xf>
    <xf numFmtId="2" fontId="11" fillId="4" borderId="0" xfId="0" applyNumberFormat="1" applyFont="1" applyFill="1" applyAlignment="1">
      <alignment vertical="center"/>
    </xf>
    <xf numFmtId="10" fontId="11" fillId="0" borderId="0" xfId="0" applyNumberFormat="1" applyFont="1" applyAlignment="1">
      <alignment vertical="center"/>
    </xf>
    <xf numFmtId="10" fontId="11" fillId="4" borderId="0" xfId="0" applyNumberFormat="1" applyFont="1" applyFill="1" applyAlignment="1">
      <alignment vertical="center"/>
    </xf>
    <xf numFmtId="3" fontId="8" fillId="0" borderId="0" xfId="0" applyNumberFormat="1" applyFont="1" applyAlignment="1">
      <alignment vertical="center"/>
    </xf>
    <xf numFmtId="10" fontId="8" fillId="0" borderId="0" xfId="0" applyNumberFormat="1" applyFont="1" applyAlignment="1">
      <alignment vertical="center"/>
    </xf>
    <xf numFmtId="2" fontId="8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3" fontId="13" fillId="0" borderId="0" xfId="0" applyNumberFormat="1" applyFont="1" applyAlignment="1">
      <alignment vertical="center"/>
    </xf>
    <xf numFmtId="10" fontId="13" fillId="0" borderId="0" xfId="0" applyNumberFormat="1" applyFont="1" applyAlignment="1">
      <alignment vertical="center"/>
    </xf>
    <xf numFmtId="176" fontId="13" fillId="0" borderId="0" xfId="0" applyNumberFormat="1" applyFont="1" applyAlignment="1">
      <alignment vertical="center"/>
    </xf>
    <xf numFmtId="2" fontId="13" fillId="0" borderId="0" xfId="0" applyNumberFormat="1" applyFont="1" applyAlignment="1">
      <alignment vertical="center"/>
    </xf>
    <xf numFmtId="177" fontId="8" fillId="0" borderId="0" xfId="0" applyNumberFormat="1" applyFont="1" applyAlignment="1">
      <alignment vertical="center"/>
    </xf>
    <xf numFmtId="178" fontId="8" fillId="0" borderId="0" xfId="0" applyNumberFormat="1" applyFont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179" fontId="11" fillId="0" borderId="1" xfId="0" applyNumberFormat="1" applyFont="1" applyBorder="1" applyAlignment="1">
      <alignment vertical="center"/>
    </xf>
    <xf numFmtId="178" fontId="8" fillId="0" borderId="1" xfId="0" applyNumberFormat="1" applyFont="1" applyBorder="1" applyAlignment="1">
      <alignment vertical="center"/>
    </xf>
    <xf numFmtId="1" fontId="13" fillId="0" borderId="0" xfId="0" applyNumberFormat="1" applyFont="1" applyAlignment="1">
      <alignment vertical="center"/>
    </xf>
    <xf numFmtId="10" fontId="8" fillId="4" borderId="0" xfId="0" applyNumberFormat="1" applyFont="1" applyFill="1" applyAlignment="1">
      <alignment vertical="center"/>
    </xf>
    <xf numFmtId="0" fontId="8" fillId="4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0" fontId="13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2" fontId="1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left" vertical="center"/>
    </xf>
    <xf numFmtId="10" fontId="1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표준" xfId="0" builtinId="0"/>
  </cellStyles>
  <dxfs count="5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1465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zoomScaleNormal="100" workbookViewId="0">
      <selection activeCell="B16" sqref="B16"/>
    </sheetView>
  </sheetViews>
  <sheetFormatPr defaultColWidth="8.7109375" defaultRowHeight="15"/>
  <cols>
    <col min="1" max="1" width="26" customWidth="1"/>
    <col min="2" max="3" width="34" customWidth="1"/>
  </cols>
  <sheetData>
    <row r="1" spans="1:3" ht="19.5">
      <c r="A1" s="3" t="s">
        <v>0</v>
      </c>
    </row>
    <row r="2" spans="1:3">
      <c r="A2" s="4" t="s">
        <v>1</v>
      </c>
    </row>
    <row r="4" spans="1:3">
      <c r="A4" s="2" t="s">
        <v>2</v>
      </c>
      <c r="B4" s="2"/>
      <c r="C4" s="2"/>
    </row>
    <row r="5" spans="1:3">
      <c r="A5" s="5" t="s">
        <v>3</v>
      </c>
      <c r="B5" s="5" t="s">
        <v>4</v>
      </c>
      <c r="C5" s="6" t="s">
        <v>5</v>
      </c>
    </row>
    <row r="6" spans="1:3">
      <c r="A6" s="7" t="s">
        <v>6</v>
      </c>
      <c r="B6" s="7" t="s">
        <v>7</v>
      </c>
      <c r="C6" s="8" t="s">
        <v>8</v>
      </c>
    </row>
    <row r="7" spans="1:3">
      <c r="A7" s="7" t="s">
        <v>9</v>
      </c>
      <c r="B7" s="7" t="s">
        <v>10</v>
      </c>
      <c r="C7" s="8" t="s">
        <v>11</v>
      </c>
    </row>
    <row r="9" spans="1:3">
      <c r="A9" s="9" t="s">
        <v>12</v>
      </c>
    </row>
    <row r="10" spans="1:3">
      <c r="A10" s="9" t="s">
        <v>13</v>
      </c>
    </row>
    <row r="11" spans="1:3">
      <c r="A11" s="9" t="s">
        <v>14</v>
      </c>
    </row>
    <row r="13" spans="1:3">
      <c r="A13" s="2" t="s">
        <v>15</v>
      </c>
      <c r="B13" s="2"/>
      <c r="C13" s="2"/>
    </row>
    <row r="14" spans="1:3">
      <c r="A14" s="10" t="s">
        <v>16</v>
      </c>
      <c r="B14" s="11" t="s">
        <v>17</v>
      </c>
    </row>
    <row r="15" spans="1:3">
      <c r="A15" s="10" t="s">
        <v>18</v>
      </c>
      <c r="B15" s="11" t="s">
        <v>19</v>
      </c>
    </row>
    <row r="16" spans="1:3">
      <c r="A16" s="10" t="s">
        <v>20</v>
      </c>
      <c r="B16" s="11" t="s">
        <v>21</v>
      </c>
    </row>
    <row r="17" spans="1:3">
      <c r="A17" s="10" t="s">
        <v>22</v>
      </c>
      <c r="B17" s="11" t="s">
        <v>23</v>
      </c>
    </row>
    <row r="18" spans="1:3">
      <c r="A18" s="12" t="s">
        <v>24</v>
      </c>
      <c r="B18" s="11" t="s">
        <v>25</v>
      </c>
    </row>
    <row r="19" spans="1:3">
      <c r="A19" s="10" t="s">
        <v>26</v>
      </c>
      <c r="B19" s="9" t="s">
        <v>27</v>
      </c>
    </row>
    <row r="21" spans="1:3">
      <c r="A21" s="2" t="s">
        <v>28</v>
      </c>
      <c r="B21" s="2"/>
      <c r="C21" s="2"/>
    </row>
    <row r="22" spans="1:3">
      <c r="A22" s="13" t="s">
        <v>29</v>
      </c>
    </row>
    <row r="23" spans="1:3">
      <c r="A23" s="11" t="s">
        <v>30</v>
      </c>
    </row>
    <row r="24" spans="1:3">
      <c r="A24" s="14" t="s">
        <v>31</v>
      </c>
    </row>
    <row r="25" spans="1:3">
      <c r="A25" s="15" t="s">
        <v>32</v>
      </c>
    </row>
    <row r="27" spans="1:3">
      <c r="A27" s="4" t="s">
        <v>33</v>
      </c>
    </row>
  </sheetData>
  <mergeCells count="3">
    <mergeCell ref="A4:C4"/>
    <mergeCell ref="A13:C13"/>
    <mergeCell ref="A21:C21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topLeftCell="A10" zoomScaleNormal="100" workbookViewId="0">
      <selection activeCell="B27" sqref="B27"/>
    </sheetView>
  </sheetViews>
  <sheetFormatPr defaultColWidth="8.7109375" defaultRowHeight="15"/>
  <cols>
    <col min="1" max="1" width="36" customWidth="1"/>
    <col min="2" max="2" width="16" customWidth="1"/>
    <col min="3" max="6" width="12" customWidth="1"/>
  </cols>
  <sheetData>
    <row r="1" spans="1:2" ht="16.5">
      <c r="A1" s="16" t="s">
        <v>34</v>
      </c>
    </row>
    <row r="3" spans="1:2">
      <c r="A3" s="2" t="s">
        <v>35</v>
      </c>
      <c r="B3" s="2"/>
    </row>
    <row r="4" spans="1:2">
      <c r="A4" s="9" t="s">
        <v>36</v>
      </c>
      <c r="B4" s="17">
        <v>160</v>
      </c>
    </row>
    <row r="5" spans="1:2">
      <c r="A5" s="11" t="s">
        <v>37</v>
      </c>
      <c r="B5" s="18">
        <v>1500</v>
      </c>
    </row>
    <row r="6" spans="1:2">
      <c r="A6" s="9" t="s">
        <v>38</v>
      </c>
      <c r="B6" s="19">
        <v>2300000</v>
      </c>
    </row>
    <row r="7" spans="1:2">
      <c r="A7" s="9" t="s">
        <v>39</v>
      </c>
      <c r="B7" s="20">
        <v>10</v>
      </c>
    </row>
    <row r="8" spans="1:2">
      <c r="A8" s="11" t="s">
        <v>40</v>
      </c>
      <c r="B8" s="19">
        <v>41500</v>
      </c>
    </row>
    <row r="9" spans="1:2">
      <c r="A9" s="11" t="s">
        <v>41</v>
      </c>
      <c r="B9" s="19">
        <v>41800</v>
      </c>
    </row>
    <row r="10" spans="1:2">
      <c r="A10" s="11" t="s">
        <v>42</v>
      </c>
      <c r="B10" s="19">
        <v>4150</v>
      </c>
    </row>
    <row r="11" spans="1:2">
      <c r="A11" s="11" t="s">
        <v>43</v>
      </c>
      <c r="B11" s="19">
        <v>4190</v>
      </c>
    </row>
    <row r="13" spans="1:2">
      <c r="A13" s="2" t="s">
        <v>44</v>
      </c>
      <c r="B13" s="2"/>
    </row>
    <row r="14" spans="1:2">
      <c r="A14" s="11" t="s">
        <v>45</v>
      </c>
      <c r="B14" s="21">
        <v>1.88</v>
      </c>
    </row>
    <row r="15" spans="1:2">
      <c r="A15" s="11" t="s">
        <v>46</v>
      </c>
      <c r="B15" s="21">
        <v>-1.88</v>
      </c>
    </row>
    <row r="16" spans="1:2">
      <c r="A16" s="9" t="s">
        <v>47</v>
      </c>
      <c r="B16" s="19">
        <v>100000000</v>
      </c>
    </row>
    <row r="17" spans="1:6">
      <c r="A17" s="11" t="s">
        <v>48</v>
      </c>
      <c r="B17" s="22">
        <v>0.01</v>
      </c>
    </row>
    <row r="18" spans="1:6">
      <c r="A18" s="11" t="s">
        <v>49</v>
      </c>
      <c r="B18" s="22">
        <v>5.0000000000000001E-3</v>
      </c>
    </row>
    <row r="19" spans="1:6">
      <c r="A19" s="11" t="s">
        <v>50</v>
      </c>
      <c r="B19" s="22">
        <v>0</v>
      </c>
    </row>
    <row r="20" spans="1:6">
      <c r="A20" s="11" t="s">
        <v>51</v>
      </c>
      <c r="B20" s="23">
        <v>1.6E-2</v>
      </c>
    </row>
    <row r="22" spans="1:6">
      <c r="A22" s="2" t="s">
        <v>52</v>
      </c>
      <c r="B22" s="2"/>
    </row>
    <row r="23" spans="1:6">
      <c r="A23" s="9" t="s">
        <v>53</v>
      </c>
      <c r="B23" s="24">
        <f>B7*B4*B5</f>
        <v>2400000</v>
      </c>
    </row>
    <row r="24" spans="1:6">
      <c r="A24" s="9" t="s">
        <v>54</v>
      </c>
      <c r="B24" s="25">
        <f>B23/B6-1</f>
        <v>4.3478260869565188E-2</v>
      </c>
    </row>
    <row r="25" spans="1:6">
      <c r="A25" s="11" t="s">
        <v>55</v>
      </c>
      <c r="B25" s="25">
        <f>B8/B9-1</f>
        <v>-7.1770334928229484E-3</v>
      </c>
    </row>
    <row r="26" spans="1:6">
      <c r="A26" s="11" t="s">
        <v>56</v>
      </c>
      <c r="B26" s="25">
        <f>B10/B11-1</f>
        <v>-9.5465393794749165E-3</v>
      </c>
    </row>
    <row r="27" spans="1:6">
      <c r="A27" s="11" t="s">
        <v>57</v>
      </c>
      <c r="B27" s="25">
        <f>MAX(2.5*B20,B17+B18)</f>
        <v>0.04</v>
      </c>
    </row>
    <row r="28" spans="1:6">
      <c r="A28" s="11" t="s">
        <v>58</v>
      </c>
      <c r="B28" s="26">
        <f>(B24-B19)/B20</f>
        <v>2.7173913043478244</v>
      </c>
    </row>
    <row r="29" spans="1:6">
      <c r="A29" s="11" t="s">
        <v>59</v>
      </c>
      <c r="B29" s="25">
        <f>B24-B25</f>
        <v>5.0655294362388137E-2</v>
      </c>
    </row>
    <row r="30" spans="1:6">
      <c r="A30" s="11" t="s">
        <v>60</v>
      </c>
      <c r="B30" s="25">
        <f>-B24-B26</f>
        <v>-3.3931721490090272E-2</v>
      </c>
    </row>
    <row r="32" spans="1:6">
      <c r="A32" s="2" t="s">
        <v>61</v>
      </c>
      <c r="B32" s="2"/>
      <c r="C32" s="2"/>
      <c r="D32" s="2"/>
      <c r="E32" s="2"/>
      <c r="F32" s="2"/>
    </row>
    <row r="33" spans="1:6" ht="30" customHeight="1">
      <c r="A33" s="10" t="s">
        <v>62</v>
      </c>
      <c r="B33" s="1" t="str">
        <f>IF(AND(B24&gt;=B27,B25&lt;=0),"전략① 진입: ADR 공매도 + 레버리지 ETF 매수 + 환헤지",IF(AND(B24&lt;=-B27,B26&lt;=0),"전략② 진입: ADR 매수 + 인버스2X ETF 매수 + 환헤지",IF(B24&gt;=B27,"보류: ADR 고평가이나 레버리지 ETF도 고평가 → 엣지 축소",IF(B24&lt;=-B27,"보류: ADR 저평가이나 인버스 ETF 고평가 → 엣지 축소","대기: 괴리 부족"))))</f>
        <v>전략① 진입: ADR 공매도 + 레버리지 ETF 매수 + 환헤지</v>
      </c>
      <c r="C33" s="1"/>
      <c r="D33" s="1"/>
      <c r="E33" s="1"/>
      <c r="F33" s="1"/>
    </row>
    <row r="34" spans="1:6">
      <c r="A34" s="11" t="s">
        <v>63</v>
      </c>
      <c r="B34" s="25">
        <f>IF(B24&gt;=0,B29,B30)-B17</f>
        <v>4.0655294362388135E-2</v>
      </c>
    </row>
    <row r="35" spans="1:6">
      <c r="A35" s="11" t="s">
        <v>64</v>
      </c>
      <c r="B35" s="9" t="str">
        <f>IF(B34&gt;=2*B17,"충족","미충족")</f>
        <v>충족</v>
      </c>
    </row>
    <row r="37" spans="1:6">
      <c r="A37" s="27" t="s">
        <v>65</v>
      </c>
    </row>
    <row r="38" spans="1:6">
      <c r="A38" s="27" t="s">
        <v>66</v>
      </c>
    </row>
    <row r="39" spans="1:6">
      <c r="A39" s="27" t="s">
        <v>67</v>
      </c>
    </row>
  </sheetData>
  <mergeCells count="5">
    <mergeCell ref="A3:B3"/>
    <mergeCell ref="A13:B13"/>
    <mergeCell ref="A22:B22"/>
    <mergeCell ref="A32:F32"/>
    <mergeCell ref="B33:F33"/>
  </mergeCells>
  <phoneticPr fontId="16" type="noConversion"/>
  <conditionalFormatting sqref="B33">
    <cfRule type="expression" dxfId="4" priority="2">
      <formula>ISNUMBER(SEARCH("진입",B33))</formula>
    </cfRule>
    <cfRule type="expression" dxfId="3" priority="3">
      <formula>ISNUMBER(SEARCH("보류",B33))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topLeftCell="A31" zoomScaleNormal="100" workbookViewId="0">
      <selection activeCell="H23" sqref="H23"/>
    </sheetView>
  </sheetViews>
  <sheetFormatPr defaultColWidth="8.7109375" defaultRowHeight="15"/>
  <cols>
    <col min="1" max="1" width="40" customWidth="1"/>
    <col min="2" max="6" width="16" customWidth="1"/>
  </cols>
  <sheetData>
    <row r="1" spans="1:2" ht="19.5">
      <c r="A1" s="16" t="s">
        <v>68</v>
      </c>
    </row>
    <row r="3" spans="1:2">
      <c r="A3" s="2" t="s">
        <v>69</v>
      </c>
      <c r="B3" s="2"/>
    </row>
    <row r="4" spans="1:2">
      <c r="A4" s="9" t="s">
        <v>70</v>
      </c>
      <c r="B4" s="28">
        <f>대시보드!B16</f>
        <v>100000000</v>
      </c>
    </row>
    <row r="5" spans="1:2">
      <c r="A5" s="9" t="s">
        <v>71</v>
      </c>
      <c r="B5" s="29">
        <f>대시보드!B24</f>
        <v>4.3478260869565188E-2</v>
      </c>
    </row>
    <row r="6" spans="1:2">
      <c r="A6" s="11" t="s">
        <v>72</v>
      </c>
      <c r="B6" s="30">
        <f>대시보드!B5</f>
        <v>1500</v>
      </c>
    </row>
    <row r="7" spans="1:2">
      <c r="A7" s="11" t="s">
        <v>73</v>
      </c>
      <c r="B7" s="31">
        <f>대시보드!B14</f>
        <v>1.88</v>
      </c>
    </row>
    <row r="8" spans="1:2">
      <c r="A8" s="11" t="s">
        <v>74</v>
      </c>
      <c r="B8" s="31">
        <f>대시보드!B15</f>
        <v>-1.88</v>
      </c>
    </row>
    <row r="9" spans="1:2">
      <c r="A9" s="11" t="s">
        <v>75</v>
      </c>
      <c r="B9" s="22">
        <v>0.01</v>
      </c>
    </row>
    <row r="11" spans="1:2">
      <c r="A11" s="2" t="s">
        <v>76</v>
      </c>
      <c r="B11" s="2"/>
    </row>
    <row r="12" spans="1:2">
      <c r="A12" s="9" t="s">
        <v>77</v>
      </c>
      <c r="B12" s="24">
        <f>B4</f>
        <v>100000000</v>
      </c>
    </row>
    <row r="13" spans="1:2">
      <c r="A13" s="11" t="s">
        <v>78</v>
      </c>
      <c r="B13" s="24">
        <f>B4/B7</f>
        <v>53191489.361702129</v>
      </c>
    </row>
    <row r="14" spans="1:2">
      <c r="A14" s="11" t="s">
        <v>79</v>
      </c>
      <c r="B14" s="28">
        <f>대시보드!B8</f>
        <v>41500</v>
      </c>
    </row>
    <row r="15" spans="1:2">
      <c r="A15" s="9" t="s">
        <v>80</v>
      </c>
      <c r="B15" s="24">
        <f>ROUND(B13/B14,0)</f>
        <v>1282</v>
      </c>
    </row>
    <row r="16" spans="1:2">
      <c r="A16" s="11" t="s">
        <v>81</v>
      </c>
      <c r="B16" s="32">
        <f>B12/B6</f>
        <v>66666.666666666672</v>
      </c>
    </row>
    <row r="17" spans="1:6">
      <c r="A17" s="11" t="s">
        <v>82</v>
      </c>
      <c r="B17" s="33">
        <f>B12*(B5-B9)</f>
        <v>3347826.0869565187</v>
      </c>
    </row>
    <row r="19" spans="1:6">
      <c r="A19" s="2" t="s">
        <v>83</v>
      </c>
      <c r="B19" s="2"/>
    </row>
    <row r="20" spans="1:6">
      <c r="A20" s="9" t="s">
        <v>84</v>
      </c>
      <c r="B20" s="24">
        <f>B4</f>
        <v>100000000</v>
      </c>
    </row>
    <row r="21" spans="1:6">
      <c r="A21" s="11" t="s">
        <v>85</v>
      </c>
      <c r="B21" s="24">
        <f>B4/ABS(B8)</f>
        <v>53191489.361702129</v>
      </c>
    </row>
    <row r="22" spans="1:6">
      <c r="A22" s="11" t="s">
        <v>86</v>
      </c>
      <c r="B22" s="28">
        <f>대시보드!B10</f>
        <v>4150</v>
      </c>
    </row>
    <row r="23" spans="1:6">
      <c r="A23" s="9" t="s">
        <v>80</v>
      </c>
      <c r="B23" s="24">
        <f>ROUND(B21/B22,0)</f>
        <v>12817</v>
      </c>
    </row>
    <row r="24" spans="1:6">
      <c r="A24" s="11" t="s">
        <v>87</v>
      </c>
      <c r="B24" s="32">
        <f>B20/B6</f>
        <v>66666.666666666672</v>
      </c>
    </row>
    <row r="25" spans="1:6">
      <c r="A25" s="11" t="s">
        <v>88</v>
      </c>
      <c r="B25" s="33">
        <f>B20*(-B9-B5)</f>
        <v>-5347826.0869565187</v>
      </c>
    </row>
    <row r="27" spans="1:6">
      <c r="A27" s="27" t="s">
        <v>89</v>
      </c>
    </row>
    <row r="29" spans="1:6">
      <c r="A29" s="2" t="s">
        <v>90</v>
      </c>
      <c r="B29" s="2"/>
      <c r="C29" s="2"/>
      <c r="D29" s="2"/>
      <c r="E29" s="2"/>
      <c r="F29" s="2"/>
    </row>
    <row r="30" spans="1:6" ht="26.25">
      <c r="A30" s="34" t="s">
        <v>91</v>
      </c>
      <c r="B30" s="35" t="s">
        <v>92</v>
      </c>
      <c r="C30" s="35" t="s">
        <v>93</v>
      </c>
      <c r="D30" s="34" t="s">
        <v>94</v>
      </c>
      <c r="E30" s="34" t="s">
        <v>95</v>
      </c>
      <c r="F30" s="34" t="s">
        <v>96</v>
      </c>
    </row>
    <row r="31" spans="1:6">
      <c r="A31" s="36">
        <v>-0.1</v>
      </c>
      <c r="B31" s="37">
        <f t="shared" ref="B31:B37" si="0">-$B$12*A31</f>
        <v>10000000</v>
      </c>
      <c r="C31" s="37">
        <f t="shared" ref="C31:C37" si="1">$B$13*$B$7*A31</f>
        <v>-10000000</v>
      </c>
      <c r="D31" s="37">
        <f t="shared" ref="D31:D37" si="2">B31+C31</f>
        <v>0</v>
      </c>
      <c r="E31" s="37">
        <f t="shared" ref="E31:E37" si="3">$B$17</f>
        <v>3347826.0869565187</v>
      </c>
      <c r="F31" s="37">
        <f t="shared" ref="F31:F37" si="4">D31+E31</f>
        <v>3347826.0869565187</v>
      </c>
    </row>
    <row r="32" spans="1:6">
      <c r="A32" s="36">
        <v>-0.05</v>
      </c>
      <c r="B32" s="37">
        <f t="shared" si="0"/>
        <v>5000000</v>
      </c>
      <c r="C32" s="37">
        <f t="shared" si="1"/>
        <v>-5000000</v>
      </c>
      <c r="D32" s="37">
        <f t="shared" si="2"/>
        <v>0</v>
      </c>
      <c r="E32" s="37">
        <f t="shared" si="3"/>
        <v>3347826.0869565187</v>
      </c>
      <c r="F32" s="37">
        <f t="shared" si="4"/>
        <v>3347826.0869565187</v>
      </c>
    </row>
    <row r="33" spans="1:6">
      <c r="A33" s="36">
        <v>-0.03</v>
      </c>
      <c r="B33" s="37">
        <f t="shared" si="0"/>
        <v>3000000</v>
      </c>
      <c r="C33" s="37">
        <f t="shared" si="1"/>
        <v>-3000000</v>
      </c>
      <c r="D33" s="37">
        <f t="shared" si="2"/>
        <v>0</v>
      </c>
      <c r="E33" s="37">
        <f t="shared" si="3"/>
        <v>3347826.0869565187</v>
      </c>
      <c r="F33" s="37">
        <f t="shared" si="4"/>
        <v>3347826.0869565187</v>
      </c>
    </row>
    <row r="34" spans="1:6">
      <c r="A34" s="36">
        <v>0</v>
      </c>
      <c r="B34" s="37">
        <f t="shared" si="0"/>
        <v>0</v>
      </c>
      <c r="C34" s="37">
        <f t="shared" si="1"/>
        <v>0</v>
      </c>
      <c r="D34" s="37">
        <f t="shared" si="2"/>
        <v>0</v>
      </c>
      <c r="E34" s="37">
        <f t="shared" si="3"/>
        <v>3347826.0869565187</v>
      </c>
      <c r="F34" s="37">
        <f t="shared" si="4"/>
        <v>3347826.0869565187</v>
      </c>
    </row>
    <row r="35" spans="1:6">
      <c r="A35" s="36">
        <v>0.03</v>
      </c>
      <c r="B35" s="37">
        <f t="shared" si="0"/>
        <v>-3000000</v>
      </c>
      <c r="C35" s="37">
        <f t="shared" si="1"/>
        <v>3000000</v>
      </c>
      <c r="D35" s="37">
        <f t="shared" si="2"/>
        <v>0</v>
      </c>
      <c r="E35" s="37">
        <f t="shared" si="3"/>
        <v>3347826.0869565187</v>
      </c>
      <c r="F35" s="37">
        <f t="shared" si="4"/>
        <v>3347826.0869565187</v>
      </c>
    </row>
    <row r="36" spans="1:6">
      <c r="A36" s="36">
        <v>0.05</v>
      </c>
      <c r="B36" s="37">
        <f t="shared" si="0"/>
        <v>-5000000</v>
      </c>
      <c r="C36" s="37">
        <f t="shared" si="1"/>
        <v>5000000</v>
      </c>
      <c r="D36" s="37">
        <f t="shared" si="2"/>
        <v>0</v>
      </c>
      <c r="E36" s="37">
        <f t="shared" si="3"/>
        <v>3347826.0869565187</v>
      </c>
      <c r="F36" s="37">
        <f t="shared" si="4"/>
        <v>3347826.0869565187</v>
      </c>
    </row>
    <row r="37" spans="1:6">
      <c r="A37" s="36">
        <v>0.1</v>
      </c>
      <c r="B37" s="37">
        <f t="shared" si="0"/>
        <v>-10000000</v>
      </c>
      <c r="C37" s="37">
        <f t="shared" si="1"/>
        <v>10000000</v>
      </c>
      <c r="D37" s="37">
        <f t="shared" si="2"/>
        <v>0</v>
      </c>
      <c r="E37" s="37">
        <f t="shared" si="3"/>
        <v>3347826.0869565187</v>
      </c>
      <c r="F37" s="37">
        <f t="shared" si="4"/>
        <v>3347826.0869565187</v>
      </c>
    </row>
    <row r="39" spans="1:6">
      <c r="A39" s="2" t="s">
        <v>97</v>
      </c>
      <c r="B39" s="2"/>
      <c r="C39" s="2"/>
      <c r="D39" s="2"/>
      <c r="E39" s="2"/>
      <c r="F39" s="2"/>
    </row>
    <row r="40" spans="1:6" ht="26.25">
      <c r="A40" s="34" t="s">
        <v>91</v>
      </c>
      <c r="B40" s="35" t="s">
        <v>92</v>
      </c>
      <c r="C40" s="35" t="s">
        <v>93</v>
      </c>
      <c r="D40" s="34" t="s">
        <v>94</v>
      </c>
      <c r="E40" s="34" t="s">
        <v>95</v>
      </c>
      <c r="F40" s="34" t="s">
        <v>96</v>
      </c>
    </row>
    <row r="41" spans="1:6">
      <c r="A41" s="36">
        <v>-0.1</v>
      </c>
      <c r="B41" s="37">
        <f t="shared" ref="B41:B47" si="5">$B$20*A41</f>
        <v>-10000000</v>
      </c>
      <c r="C41" s="37">
        <f t="shared" ref="C41:C47" si="6">$B$21*$B$8*A41</f>
        <v>10000000</v>
      </c>
      <c r="D41" s="37">
        <f t="shared" ref="D41:D47" si="7">B41+C41</f>
        <v>0</v>
      </c>
      <c r="E41" s="37">
        <f t="shared" ref="E41:E47" si="8">$B$25</f>
        <v>-5347826.0869565187</v>
      </c>
      <c r="F41" s="37">
        <f t="shared" ref="F41:F47" si="9">D41+E41</f>
        <v>-5347826.0869565187</v>
      </c>
    </row>
    <row r="42" spans="1:6">
      <c r="A42" s="36">
        <v>-0.05</v>
      </c>
      <c r="B42" s="37">
        <f t="shared" si="5"/>
        <v>-5000000</v>
      </c>
      <c r="C42" s="37">
        <f t="shared" si="6"/>
        <v>5000000</v>
      </c>
      <c r="D42" s="37">
        <f t="shared" si="7"/>
        <v>0</v>
      </c>
      <c r="E42" s="37">
        <f t="shared" si="8"/>
        <v>-5347826.0869565187</v>
      </c>
      <c r="F42" s="37">
        <f t="shared" si="9"/>
        <v>-5347826.0869565187</v>
      </c>
    </row>
    <row r="43" spans="1:6">
      <c r="A43" s="36">
        <v>-0.03</v>
      </c>
      <c r="B43" s="37">
        <f t="shared" si="5"/>
        <v>-3000000</v>
      </c>
      <c r="C43" s="37">
        <f t="shared" si="6"/>
        <v>3000000</v>
      </c>
      <c r="D43" s="37">
        <f t="shared" si="7"/>
        <v>0</v>
      </c>
      <c r="E43" s="37">
        <f t="shared" si="8"/>
        <v>-5347826.0869565187</v>
      </c>
      <c r="F43" s="37">
        <f t="shared" si="9"/>
        <v>-5347826.0869565187</v>
      </c>
    </row>
    <row r="44" spans="1:6">
      <c r="A44" s="36">
        <v>0</v>
      </c>
      <c r="B44" s="37">
        <f t="shared" si="5"/>
        <v>0</v>
      </c>
      <c r="C44" s="37">
        <f t="shared" si="6"/>
        <v>0</v>
      </c>
      <c r="D44" s="37">
        <f t="shared" si="7"/>
        <v>0</v>
      </c>
      <c r="E44" s="37">
        <f t="shared" si="8"/>
        <v>-5347826.0869565187</v>
      </c>
      <c r="F44" s="37">
        <f t="shared" si="9"/>
        <v>-5347826.0869565187</v>
      </c>
    </row>
    <row r="45" spans="1:6">
      <c r="A45" s="36">
        <v>0.03</v>
      </c>
      <c r="B45" s="37">
        <f t="shared" si="5"/>
        <v>3000000</v>
      </c>
      <c r="C45" s="37">
        <f t="shared" si="6"/>
        <v>-3000000</v>
      </c>
      <c r="D45" s="37">
        <f t="shared" si="7"/>
        <v>0</v>
      </c>
      <c r="E45" s="37">
        <f t="shared" si="8"/>
        <v>-5347826.0869565187</v>
      </c>
      <c r="F45" s="37">
        <f t="shared" si="9"/>
        <v>-5347826.0869565187</v>
      </c>
    </row>
    <row r="46" spans="1:6">
      <c r="A46" s="36">
        <v>0.05</v>
      </c>
      <c r="B46" s="37">
        <f t="shared" si="5"/>
        <v>5000000</v>
      </c>
      <c r="C46" s="37">
        <f t="shared" si="6"/>
        <v>-5000000</v>
      </c>
      <c r="D46" s="37">
        <f t="shared" si="7"/>
        <v>0</v>
      </c>
      <c r="E46" s="37">
        <f t="shared" si="8"/>
        <v>-5347826.0869565187</v>
      </c>
      <c r="F46" s="37">
        <f t="shared" si="9"/>
        <v>-5347826.0869565187</v>
      </c>
    </row>
    <row r="47" spans="1:6">
      <c r="A47" s="36">
        <v>0.1</v>
      </c>
      <c r="B47" s="37">
        <f t="shared" si="5"/>
        <v>10000000</v>
      </c>
      <c r="C47" s="37">
        <f t="shared" si="6"/>
        <v>-10000000</v>
      </c>
      <c r="D47" s="37">
        <f t="shared" si="7"/>
        <v>0</v>
      </c>
      <c r="E47" s="37">
        <f t="shared" si="8"/>
        <v>-5347826.0869565187</v>
      </c>
      <c r="F47" s="37">
        <f t="shared" si="9"/>
        <v>-5347826.0869565187</v>
      </c>
    </row>
    <row r="49" spans="1:1">
      <c r="A49" s="4" t="s">
        <v>98</v>
      </c>
    </row>
  </sheetData>
  <mergeCells count="5">
    <mergeCell ref="A3:B3"/>
    <mergeCell ref="A11:B11"/>
    <mergeCell ref="A19:B19"/>
    <mergeCell ref="A29:F29"/>
    <mergeCell ref="A39:F39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8"/>
  <sheetViews>
    <sheetView zoomScaleNormal="100" workbookViewId="0"/>
  </sheetViews>
  <sheetFormatPr defaultColWidth="8.7109375" defaultRowHeight="15"/>
  <cols>
    <col min="1" max="1" width="38" customWidth="1"/>
    <col min="2" max="2" width="16" customWidth="1"/>
    <col min="3" max="5" width="14" customWidth="1"/>
  </cols>
  <sheetData>
    <row r="1" spans="1:2" ht="19.5">
      <c r="A1" s="16" t="s">
        <v>99</v>
      </c>
    </row>
    <row r="3" spans="1:2">
      <c r="A3" s="2" t="s">
        <v>100</v>
      </c>
      <c r="B3" s="2"/>
    </row>
    <row r="4" spans="1:2">
      <c r="A4" s="11" t="s">
        <v>101</v>
      </c>
      <c r="B4" s="19">
        <v>2300000</v>
      </c>
    </row>
    <row r="5" spans="1:2">
      <c r="A5" s="11" t="s">
        <v>102</v>
      </c>
      <c r="B5" s="17">
        <v>161</v>
      </c>
    </row>
    <row r="6" spans="1:2">
      <c r="A6" s="11" t="s">
        <v>37</v>
      </c>
      <c r="B6" s="18">
        <v>1500</v>
      </c>
    </row>
    <row r="7" spans="1:2">
      <c r="A7" s="9" t="s">
        <v>103</v>
      </c>
      <c r="B7" s="38">
        <f>대시보드!B7</f>
        <v>10</v>
      </c>
    </row>
    <row r="8" spans="1:2">
      <c r="A8" s="11" t="s">
        <v>104</v>
      </c>
      <c r="B8" s="19">
        <v>40000</v>
      </c>
    </row>
    <row r="9" spans="1:2">
      <c r="A9" s="11" t="s">
        <v>105</v>
      </c>
      <c r="B9" s="19">
        <v>4000</v>
      </c>
    </row>
    <row r="10" spans="1:2">
      <c r="A10" s="11" t="s">
        <v>106</v>
      </c>
      <c r="B10" s="39">
        <f>B15</f>
        <v>5.0000000000000044E-2</v>
      </c>
    </row>
    <row r="11" spans="1:2">
      <c r="A11" s="11" t="s">
        <v>107</v>
      </c>
      <c r="B11" s="22">
        <v>0.01</v>
      </c>
    </row>
    <row r="13" spans="1:2">
      <c r="A13" s="2" t="s">
        <v>108</v>
      </c>
      <c r="B13" s="2"/>
    </row>
    <row r="14" spans="1:2">
      <c r="A14" s="11" t="s">
        <v>109</v>
      </c>
      <c r="B14" s="24">
        <f>B7*B5*B6</f>
        <v>2415000</v>
      </c>
    </row>
    <row r="15" spans="1:2">
      <c r="A15" s="11" t="s">
        <v>110</v>
      </c>
      <c r="B15" s="25">
        <f>B14/B4-1</f>
        <v>5.0000000000000044E-2</v>
      </c>
    </row>
    <row r="16" spans="1:2">
      <c r="A16" s="11" t="s">
        <v>111</v>
      </c>
      <c r="B16" s="24">
        <f>B8*(1+2*B15)</f>
        <v>44000</v>
      </c>
    </row>
    <row r="17" spans="1:2">
      <c r="A17" s="11" t="s">
        <v>112</v>
      </c>
      <c r="B17" s="24">
        <f>B9*(1-2*B10)</f>
        <v>3599.9999999999995</v>
      </c>
    </row>
    <row r="19" spans="1:2">
      <c r="A19" s="2" t="s">
        <v>113</v>
      </c>
      <c r="B19" s="2"/>
    </row>
    <row r="20" spans="1:2">
      <c r="A20" s="11" t="s">
        <v>114</v>
      </c>
      <c r="B20" s="19">
        <v>41500</v>
      </c>
    </row>
    <row r="21" spans="1:2">
      <c r="A21" s="11" t="s">
        <v>115</v>
      </c>
      <c r="B21" s="19">
        <v>3600</v>
      </c>
    </row>
    <row r="22" spans="1:2">
      <c r="A22" s="11" t="s">
        <v>116</v>
      </c>
      <c r="B22" s="25">
        <f>B20/B16-1</f>
        <v>-5.6818181818181768E-2</v>
      </c>
    </row>
    <row r="23" spans="1:2">
      <c r="A23" s="11" t="s">
        <v>117</v>
      </c>
      <c r="B23" s="25">
        <f>B21/B17-1</f>
        <v>0</v>
      </c>
    </row>
    <row r="24" spans="1:2">
      <c r="A24" s="11" t="s">
        <v>118</v>
      </c>
      <c r="B24" s="9" t="str">
        <f>IF(B22&lt;=-B11,"저평가 → 매수 후보",IF(B22&gt;=B11,"고평가·과열 → 매수 회피","중립"))</f>
        <v>저평가 → 매수 후보</v>
      </c>
    </row>
    <row r="25" spans="1:2">
      <c r="A25" s="11" t="s">
        <v>119</v>
      </c>
      <c r="B25" s="9" t="str">
        <f>IF(B23&lt;=-B11,"저평가 → 매수 후보",IF(B23&gt;=B11,"고평가·과열 → 매수 회피","중립"))</f>
        <v>중립</v>
      </c>
    </row>
    <row r="27" spans="1:2">
      <c r="A27" s="4" t="s">
        <v>120</v>
      </c>
    </row>
    <row r="28" spans="1:2">
      <c r="A28" s="4" t="s">
        <v>121</v>
      </c>
    </row>
  </sheetData>
  <mergeCells count="3">
    <mergeCell ref="A3:B3"/>
    <mergeCell ref="A13:B13"/>
    <mergeCell ref="A19:B19"/>
  </mergeCells>
  <phoneticPr fontId="16" type="noConversion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2"/>
  <sheetViews>
    <sheetView tabSelected="1" zoomScaleNormal="100" workbookViewId="0">
      <selection activeCell="J21" sqref="J21"/>
    </sheetView>
  </sheetViews>
  <sheetFormatPr defaultColWidth="8.7109375" defaultRowHeight="15"/>
  <cols>
    <col min="1" max="1" width="34" style="43" customWidth="1"/>
    <col min="2" max="2" width="24" style="43" customWidth="1"/>
    <col min="3" max="3" width="16" style="43" customWidth="1"/>
    <col min="4" max="4" width="14" style="43" customWidth="1"/>
    <col min="5" max="16384" width="8.7109375" style="43"/>
  </cols>
  <sheetData>
    <row r="1" spans="1:4" s="54" customFormat="1" ht="19.5">
      <c r="A1" s="53" t="s">
        <v>122</v>
      </c>
    </row>
    <row r="2" spans="1:4" s="54" customFormat="1"/>
    <row r="3" spans="1:4" s="54" customFormat="1">
      <c r="A3" s="55" t="s">
        <v>123</v>
      </c>
      <c r="B3" s="56">
        <f>대시보드!B27</f>
        <v>0.04</v>
      </c>
    </row>
    <row r="4" spans="1:4" s="54" customFormat="1">
      <c r="A4" s="57" t="s">
        <v>124</v>
      </c>
    </row>
    <row r="6" spans="1:4">
      <c r="A6" s="44" t="s">
        <v>125</v>
      </c>
      <c r="B6" s="44"/>
      <c r="C6" s="44"/>
      <c r="D6" s="44"/>
    </row>
    <row r="7" spans="1:4">
      <c r="A7" s="45" t="s">
        <v>126</v>
      </c>
      <c r="B7" s="45" t="s">
        <v>127</v>
      </c>
      <c r="C7" s="45" t="s">
        <v>128</v>
      </c>
      <c r="D7" s="45" t="s">
        <v>62</v>
      </c>
    </row>
    <row r="8" spans="1:4">
      <c r="A8" s="46" t="s">
        <v>129</v>
      </c>
      <c r="B8" s="47" t="s">
        <v>130</v>
      </c>
      <c r="C8" s="48">
        <f>ABS(대시보드!B24)</f>
        <v>4.3478260869565188E-2</v>
      </c>
      <c r="D8" s="47" t="str">
        <f>IF(C8&gt;=대시보드!B27,"충족","미충족")</f>
        <v>충족</v>
      </c>
    </row>
    <row r="9" spans="1:4">
      <c r="A9" s="47" t="s">
        <v>131</v>
      </c>
      <c r="B9" s="46" t="s">
        <v>132</v>
      </c>
      <c r="C9" s="48">
        <f>MAX(대시보드!B29,대시보드!B30)</f>
        <v>5.0655294362388137E-2</v>
      </c>
      <c r="D9" s="47" t="str">
        <f>IF(C9&gt;=0.03,"충족","미충족")</f>
        <v>충족</v>
      </c>
    </row>
    <row r="10" spans="1:4">
      <c r="A10" s="47" t="s">
        <v>133</v>
      </c>
      <c r="B10" s="47" t="s">
        <v>134</v>
      </c>
      <c r="C10" s="48">
        <f>대시보드!B34</f>
        <v>4.0655294362388135E-2</v>
      </c>
      <c r="D10" s="47" t="str">
        <f>IF(C10&gt;=2*대시보드!B17,"충족","미충족")</f>
        <v>충족</v>
      </c>
    </row>
    <row r="11" spans="1:4">
      <c r="A11" s="46" t="s">
        <v>135</v>
      </c>
      <c r="B11" s="46" t="s">
        <v>136</v>
      </c>
      <c r="C11" s="49" t="s">
        <v>137</v>
      </c>
      <c r="D11" s="47" t="str">
        <f>IF(C11="Y","충족","확인필요")</f>
        <v>충족</v>
      </c>
    </row>
    <row r="12" spans="1:4">
      <c r="A12" s="46" t="s">
        <v>138</v>
      </c>
      <c r="B12" s="46" t="s">
        <v>136</v>
      </c>
      <c r="C12" s="49" t="s">
        <v>137</v>
      </c>
      <c r="D12" s="47" t="str">
        <f>IF(C12="Y","충족","확인필요")</f>
        <v>충족</v>
      </c>
    </row>
    <row r="13" spans="1:4">
      <c r="A13" s="47" t="s">
        <v>139</v>
      </c>
      <c r="B13" s="46" t="s">
        <v>136</v>
      </c>
      <c r="C13" s="49" t="s">
        <v>137</v>
      </c>
      <c r="D13" s="47" t="str">
        <f>IF(C13="Y","충족","확인필요")</f>
        <v>충족</v>
      </c>
    </row>
    <row r="14" spans="1:4">
      <c r="A14" s="50" t="s">
        <v>140</v>
      </c>
      <c r="B14" s="46" t="s">
        <v>141</v>
      </c>
      <c r="C14" s="51">
        <f>COUNTIF(D8:D13,"충족")</f>
        <v>6</v>
      </c>
      <c r="D14" s="50" t="str">
        <f>IF(C14=6,"진입 가능","진입 불가")</f>
        <v>진입 가능</v>
      </c>
    </row>
    <row r="16" spans="1:4">
      <c r="A16" s="44" t="s">
        <v>142</v>
      </c>
      <c r="B16" s="44"/>
      <c r="C16" s="44"/>
      <c r="D16" s="44"/>
    </row>
    <row r="17" spans="1:4">
      <c r="A17" s="45" t="s">
        <v>126</v>
      </c>
      <c r="B17" s="45" t="s">
        <v>127</v>
      </c>
      <c r="C17" s="45" t="s">
        <v>143</v>
      </c>
      <c r="D17" s="45" t="s">
        <v>62</v>
      </c>
    </row>
    <row r="18" spans="1:4">
      <c r="A18" s="46" t="s">
        <v>144</v>
      </c>
      <c r="B18" s="47" t="s">
        <v>145</v>
      </c>
      <c r="C18" s="48">
        <f>ABS(대시보드!B24)</f>
        <v>4.3478260869565188E-2</v>
      </c>
      <c r="D18" s="47" t="str">
        <f>IF(C18&lt;=0.01,"청산 검토","유지")</f>
        <v>유지</v>
      </c>
    </row>
    <row r="19" spans="1:4">
      <c r="A19" s="47" t="s">
        <v>146</v>
      </c>
      <c r="B19" s="46" t="s">
        <v>147</v>
      </c>
      <c r="C19" s="52">
        <f>ABS(대시보드!B28)</f>
        <v>2.7173913043478244</v>
      </c>
      <c r="D19" s="47" t="str">
        <f>IF(C19&lt;=0.5,"청산 검토","유지")</f>
        <v>유지</v>
      </c>
    </row>
    <row r="20" spans="1:4">
      <c r="A20" s="47" t="s">
        <v>148</v>
      </c>
      <c r="B20" s="46" t="s">
        <v>149</v>
      </c>
      <c r="C20" s="47" t="s">
        <v>150</v>
      </c>
      <c r="D20" s="46" t="s">
        <v>151</v>
      </c>
    </row>
    <row r="21" spans="1:4">
      <c r="A21" s="47" t="s">
        <v>152</v>
      </c>
      <c r="B21" s="47" t="s">
        <v>153</v>
      </c>
      <c r="C21" s="47" t="s">
        <v>150</v>
      </c>
      <c r="D21" s="46" t="s">
        <v>151</v>
      </c>
    </row>
    <row r="22" spans="1:4">
      <c r="A22" s="47" t="s">
        <v>154</v>
      </c>
      <c r="B22" s="47" t="s">
        <v>155</v>
      </c>
      <c r="C22" s="47" t="s">
        <v>150</v>
      </c>
      <c r="D22" s="46" t="s">
        <v>151</v>
      </c>
    </row>
  </sheetData>
  <mergeCells count="2">
    <mergeCell ref="A6:D6"/>
    <mergeCell ref="A16:D16"/>
  </mergeCells>
  <phoneticPr fontId="16" type="noConversion"/>
  <conditionalFormatting sqref="D8:D14">
    <cfRule type="expression" dxfId="2" priority="2">
      <formula>ISNUMBER(SEARCH("충족",D8))</formula>
    </cfRule>
    <cfRule type="expression" dxfId="1" priority="3">
      <formula>ISNUMBER(SEARCH("미충족",D8))</formula>
    </cfRule>
  </conditionalFormatting>
  <conditionalFormatting sqref="D18:D19">
    <cfRule type="expression" dxfId="0" priority="4">
      <formula>ISNUMBER(SEARCH("청산 검토",D18))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5"/>
  <sheetViews>
    <sheetView zoomScaleNormal="100" workbookViewId="0"/>
  </sheetViews>
  <sheetFormatPr defaultColWidth="8.7109375" defaultRowHeight="15"/>
  <cols>
    <col min="1" max="1" width="34" customWidth="1"/>
    <col min="2" max="2" width="18" customWidth="1"/>
    <col min="3" max="3" width="14" customWidth="1"/>
    <col min="4" max="4" width="30" customWidth="1"/>
    <col min="5" max="5" width="12" customWidth="1"/>
    <col min="6" max="6" width="14" customWidth="1"/>
    <col min="7" max="8" width="12" customWidth="1"/>
  </cols>
  <sheetData>
    <row r="1" spans="1:8" ht="19.5">
      <c r="A1" s="16" t="s">
        <v>156</v>
      </c>
    </row>
    <row r="3" spans="1:8" ht="25.5">
      <c r="A3" s="34" t="s">
        <v>157</v>
      </c>
      <c r="B3" s="34" t="s">
        <v>158</v>
      </c>
      <c r="C3" s="34" t="s">
        <v>159</v>
      </c>
      <c r="D3" s="34" t="s">
        <v>160</v>
      </c>
      <c r="E3" s="34" t="s">
        <v>161</v>
      </c>
      <c r="F3" s="34" t="s">
        <v>162</v>
      </c>
      <c r="G3" s="34" t="s">
        <v>163</v>
      </c>
      <c r="H3" s="34" t="s">
        <v>164</v>
      </c>
    </row>
    <row r="4" spans="1:8">
      <c r="A4" s="7" t="s">
        <v>165</v>
      </c>
      <c r="B4" s="8" t="s">
        <v>166</v>
      </c>
      <c r="C4" s="8" t="s">
        <v>167</v>
      </c>
      <c r="D4" s="8" t="s">
        <v>168</v>
      </c>
      <c r="E4" s="40"/>
      <c r="F4" s="40"/>
      <c r="G4" s="40"/>
      <c r="H4" s="40"/>
    </row>
    <row r="5" spans="1:8">
      <c r="A5" s="7" t="s">
        <v>169</v>
      </c>
      <c r="B5" s="8" t="s">
        <v>170</v>
      </c>
      <c r="C5" s="8" t="s">
        <v>167</v>
      </c>
      <c r="D5" s="8" t="s">
        <v>168</v>
      </c>
      <c r="E5" s="40"/>
      <c r="F5" s="40"/>
      <c r="G5" s="40"/>
      <c r="H5" s="40"/>
    </row>
    <row r="6" spans="1:8">
      <c r="A6" s="7" t="s">
        <v>171</v>
      </c>
      <c r="B6" s="8" t="s">
        <v>172</v>
      </c>
      <c r="C6" s="8" t="s">
        <v>167</v>
      </c>
      <c r="D6" s="8" t="s">
        <v>168</v>
      </c>
      <c r="E6" s="40"/>
      <c r="F6" s="40"/>
      <c r="G6" s="40"/>
      <c r="H6" s="40"/>
    </row>
    <row r="7" spans="1:8">
      <c r="A7" s="7" t="s">
        <v>173</v>
      </c>
      <c r="B7" s="7" t="s">
        <v>174</v>
      </c>
      <c r="C7" s="8" t="s">
        <v>167</v>
      </c>
      <c r="D7" s="8" t="s">
        <v>168</v>
      </c>
      <c r="E7" s="40"/>
      <c r="F7" s="40"/>
      <c r="G7" s="40"/>
      <c r="H7" s="40"/>
    </row>
    <row r="8" spans="1:8">
      <c r="A8" s="7" t="s">
        <v>175</v>
      </c>
      <c r="B8" s="8" t="s">
        <v>176</v>
      </c>
      <c r="C8" s="8" t="s">
        <v>167</v>
      </c>
      <c r="D8" s="8" t="s">
        <v>168</v>
      </c>
      <c r="E8" s="40"/>
      <c r="F8" s="40"/>
      <c r="G8" s="40"/>
      <c r="H8" s="40"/>
    </row>
    <row r="9" spans="1:8">
      <c r="A9" s="7" t="s">
        <v>177</v>
      </c>
      <c r="B9" s="8" t="s">
        <v>178</v>
      </c>
      <c r="C9" s="8" t="s">
        <v>167</v>
      </c>
      <c r="D9" s="8" t="s">
        <v>168</v>
      </c>
      <c r="E9" s="40"/>
      <c r="F9" s="40"/>
      <c r="G9" s="40"/>
      <c r="H9" s="40"/>
    </row>
    <row r="10" spans="1:8">
      <c r="A10" s="7" t="s">
        <v>179</v>
      </c>
      <c r="B10" s="8" t="s">
        <v>180</v>
      </c>
      <c r="C10" s="8" t="s">
        <v>167</v>
      </c>
      <c r="D10" s="8" t="s">
        <v>168</v>
      </c>
      <c r="E10" s="40"/>
      <c r="F10" s="40"/>
      <c r="G10" s="40"/>
      <c r="H10" s="40"/>
    </row>
    <row r="11" spans="1:8">
      <c r="A11" s="7" t="s">
        <v>181</v>
      </c>
      <c r="B11" s="8" t="s">
        <v>176</v>
      </c>
      <c r="C11" s="8" t="s">
        <v>182</v>
      </c>
      <c r="D11" s="7" t="s">
        <v>183</v>
      </c>
      <c r="E11" s="40"/>
      <c r="F11" s="40"/>
      <c r="G11" s="40"/>
      <c r="H11" s="40"/>
    </row>
    <row r="13" spans="1:8">
      <c r="A13" s="27" t="s">
        <v>184</v>
      </c>
    </row>
    <row r="14" spans="1:8">
      <c r="A14" s="27" t="s">
        <v>185</v>
      </c>
    </row>
    <row r="15" spans="1:8">
      <c r="A15" s="4" t="s">
        <v>186</v>
      </c>
    </row>
    <row r="17" spans="1:2">
      <c r="A17" s="2" t="s">
        <v>187</v>
      </c>
      <c r="B17" s="2"/>
    </row>
    <row r="18" spans="1:2">
      <c r="A18" s="9" t="s">
        <v>188</v>
      </c>
    </row>
    <row r="19" spans="1:2">
      <c r="A19" s="9" t="s">
        <v>189</v>
      </c>
    </row>
    <row r="20" spans="1:2">
      <c r="A20" s="9" t="s">
        <v>190</v>
      </c>
    </row>
    <row r="21" spans="1:2">
      <c r="A21" s="9" t="s">
        <v>191</v>
      </c>
    </row>
    <row r="22" spans="1:2">
      <c r="A22" s="9" t="s">
        <v>192</v>
      </c>
    </row>
    <row r="23" spans="1:2">
      <c r="A23" s="9" t="s">
        <v>193</v>
      </c>
    </row>
    <row r="25" spans="1:2">
      <c r="A25" s="4" t="s">
        <v>194</v>
      </c>
    </row>
  </sheetData>
  <mergeCells count="1">
    <mergeCell ref="A17:B17"/>
  </mergeCells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zoomScaleNormal="100" workbookViewId="0"/>
  </sheetViews>
  <sheetFormatPr defaultColWidth="8.7109375" defaultRowHeight="15"/>
  <cols>
    <col min="1" max="1" width="22" customWidth="1"/>
    <col min="2" max="2" width="44" customWidth="1"/>
    <col min="3" max="3" width="32" customWidth="1"/>
    <col min="4" max="4" width="36" customWidth="1"/>
  </cols>
  <sheetData>
    <row r="1" spans="1:4" ht="19.5">
      <c r="A1" s="3" t="s">
        <v>195</v>
      </c>
    </row>
    <row r="3" spans="1:4">
      <c r="A3" s="6" t="s">
        <v>26</v>
      </c>
      <c r="B3" s="6" t="s">
        <v>196</v>
      </c>
      <c r="C3" s="6" t="s">
        <v>197</v>
      </c>
      <c r="D3" s="6" t="s">
        <v>198</v>
      </c>
    </row>
    <row r="4" spans="1:4" ht="33.75" customHeight="1">
      <c r="A4" s="41" t="s">
        <v>199</v>
      </c>
      <c r="B4" s="41" t="s">
        <v>200</v>
      </c>
      <c r="C4" s="41" t="s">
        <v>201</v>
      </c>
      <c r="D4" s="41" t="s">
        <v>202</v>
      </c>
    </row>
    <row r="5" spans="1:4" ht="33.75" customHeight="1">
      <c r="A5" s="41" t="s">
        <v>203</v>
      </c>
      <c r="B5" s="41" t="s">
        <v>204</v>
      </c>
      <c r="C5" s="41" t="s">
        <v>205</v>
      </c>
      <c r="D5" s="41" t="s">
        <v>206</v>
      </c>
    </row>
    <row r="6" spans="1:4" ht="33.75" customHeight="1">
      <c r="A6" s="41" t="s">
        <v>207</v>
      </c>
      <c r="B6" s="42" t="s">
        <v>208</v>
      </c>
      <c r="C6" s="41" t="s">
        <v>209</v>
      </c>
      <c r="D6" s="41" t="s">
        <v>210</v>
      </c>
    </row>
    <row r="7" spans="1:4" ht="33.75" customHeight="1">
      <c r="A7" s="41" t="s">
        <v>211</v>
      </c>
      <c r="B7" s="42" t="s">
        <v>212</v>
      </c>
      <c r="C7" s="41" t="s">
        <v>213</v>
      </c>
      <c r="D7" s="41" t="s">
        <v>214</v>
      </c>
    </row>
    <row r="8" spans="1:4" ht="33.75" customHeight="1">
      <c r="A8" s="41" t="s">
        <v>215</v>
      </c>
      <c r="B8" s="42" t="s">
        <v>216</v>
      </c>
      <c r="C8" s="41" t="s">
        <v>217</v>
      </c>
      <c r="D8" s="41" t="s">
        <v>218</v>
      </c>
    </row>
    <row r="10" spans="1:4">
      <c r="A10" s="12" t="s">
        <v>219</v>
      </c>
    </row>
    <row r="12" spans="1:4">
      <c r="A12" s="4" t="s">
        <v>220</v>
      </c>
    </row>
  </sheetData>
  <phoneticPr fontId="1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개요</vt:lpstr>
      <vt:lpstr>대시보드</vt:lpstr>
      <vt:lpstr>포지션계산</vt:lpstr>
      <vt:lpstr>개장가예측</vt:lpstr>
      <vt:lpstr>진입청산규칙</vt:lpstr>
      <vt:lpstr>ETF후보</vt:lpstr>
      <vt:lpstr>리스크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Greg Kim</cp:lastModifiedBy>
  <cp:revision>0</cp:revision>
  <dcterms:created xsi:type="dcterms:W3CDTF">2026-07-08T05:45:00Z</dcterms:created>
  <dcterms:modified xsi:type="dcterms:W3CDTF">2026-07-08T06:12:51Z</dcterms:modified>
  <dc:language>en-US</dc:language>
</cp:coreProperties>
</file>